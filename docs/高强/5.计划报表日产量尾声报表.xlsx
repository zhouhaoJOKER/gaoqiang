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7.20" sheetId="1" r:id="rId4"/>
    <sheet name="Sheet1" sheetId="2" r:id="rId5"/>
    <sheet name="盖子机台产量" sheetId="3" r:id="rId6"/>
    <sheet name="瓶子机台产量" sheetId="4" r:id="rId7"/>
    <sheet name="宸祺橡塑" sheetId="5" r:id="rId8"/>
    <sheet name="Sheet4" sheetId="6" r:id="rId9"/>
    <sheet name="Sheet6" sheetId="7" r:id="rId10"/>
  </sheets>
  <definedNames>
    <definedName name="_xlnm._FilterDatabase" localSheetId="0" hidden="1">'7.20'!$A$2:$N$14</definedName>
  </definedNames>
  <calcPr calcId="191029"/>
</workbook>
</file>

<file path=xl/comments1.xml><?xml version="1.0" encoding="utf-8"?>
<comments xmlns="http://schemas.openxmlformats.org/spreadsheetml/2006/main">
  <authors>
    <author>欧耶😊</author>
  </authors>
  <commentList>
    <comment ref="A17" authorId="0">
      <text>
        <r>
          <rPr>
            <rFont val="宋体"/>
            <charset val="134"/>
            <b val="1"/>
            <sz val="9"/>
          </rPr>
          <t>Administrator:</t>
        </r>
        <r>
          <rPr>
            <rFont val="宋体"/>
            <charset val="134"/>
            <sz val="9"/>
          </rPr>
          <t xml:space="preserve">
中口盖子都是带刀口的</t>
        </r>
      </text>
    </comment>
    <comment ref="A11" authorId="0">
      <text>
        <r>
          <rPr>
            <rFont val="宋体"/>
            <charset val="134"/>
            <b val="1"/>
            <sz val="9"/>
          </rPr>
          <t>Administrator:</t>
        </r>
        <r>
          <rPr>
            <rFont val="宋体"/>
            <charset val="134"/>
            <sz val="9"/>
          </rPr>
          <t xml:space="preserve">
</t>
        </r>
        <r>
          <rPr>
            <rFont val="宋体"/>
            <charset val="134"/>
            <sz val="12"/>
          </rPr>
          <t>没有刀口的</t>
        </r>
      </text>
    </comment>
  </commentList>
</comments>
</file>

<file path=xl/sharedStrings.xml><?xml version="1.0" encoding="utf-8"?>
<sst xmlns="http://schemas.openxmlformats.org/spreadsheetml/2006/main" count="412" uniqueCount="412">
  <si>
    <t/>
  </si>
  <si>
    <t xml:space="preserve">（ 8月20日 ）产量跟换计划报表 </t>
  </si>
  <si>
    <t>机台</t>
  </si>
  <si>
    <t>产品名称</t>
  </si>
  <si>
    <t>型号</t>
  </si>
  <si>
    <t>颜色</t>
  </si>
  <si>
    <t>克重</t>
  </si>
  <si>
    <t>危包</t>
  </si>
  <si>
    <t>生产余量（只）</t>
  </si>
  <si>
    <t>预计控制原料时间</t>
  </si>
  <si>
    <t>大标签打印</t>
  </si>
  <si>
    <t>生产注意事项</t>
  </si>
  <si>
    <t>预计换模班次</t>
  </si>
  <si>
    <t>5#</t>
  </si>
  <si>
    <t>1L PE瓶</t>
  </si>
  <si>
    <t>1L-002</t>
  </si>
  <si>
    <t>白</t>
  </si>
  <si>
    <t>白瓶绿盖，带刀口，带UN号，咪唑乙烟酸-H2025Y002，货发商河</t>
  </si>
  <si>
    <t>100G</t>
  </si>
  <si>
    <t>生产25.08</t>
  </si>
  <si>
    <t>14层*140+1袋</t>
  </si>
  <si>
    <t>白班</t>
  </si>
  <si>
    <t>透明</t>
  </si>
  <si>
    <t>透明瓶橘色盖，带量杯</t>
  </si>
  <si>
    <t>90G</t>
  </si>
  <si>
    <t>托盘</t>
  </si>
  <si>
    <t>2#</t>
  </si>
  <si>
    <t>白瓶白盖，带量杯，瓶盖带“bc”LOGO（见附图）不带UN号，1L 瓶发货备注（HE-25059)-功夫+吡虫啉-2KL</t>
  </si>
  <si>
    <t>不带UN</t>
  </si>
  <si>
    <t>24层*56</t>
  </si>
  <si>
    <t>夜班</t>
  </si>
  <si>
    <t>10L 阻隔桶</t>
  </si>
  <si>
    <t>10L-201（带标）</t>
  </si>
  <si>
    <t>白桶白盖，桶身肩带“AGROTOXICO-NAO REUTILIZAR ESTA EMBALAGEM”标，桶底带NORTOX+图标，底部材质COEX，办商检，合格证备注PC25201</t>
  </si>
  <si>
    <t>520G</t>
  </si>
  <si>
    <t>已办24.12</t>
  </si>
  <si>
    <t>10L-201  白色 阻隔 带标 520G 带危包 PC25201</t>
  </si>
  <si>
    <t>3#</t>
  </si>
  <si>
    <t>5L 阻隔桶</t>
  </si>
  <si>
    <t>5L-201</t>
  </si>
  <si>
    <t>白桶绿盖，办商检</t>
  </si>
  <si>
    <t>300G</t>
  </si>
  <si>
    <t>待办24.12</t>
  </si>
  <si>
    <t>41层*42+28袋*15</t>
  </si>
  <si>
    <t>320G</t>
  </si>
  <si>
    <t>7袋*15</t>
  </si>
  <si>
    <t>换克重</t>
  </si>
  <si>
    <t>5L PE桶</t>
  </si>
  <si>
    <t>5L-202（1）</t>
  </si>
  <si>
    <t>白桶白盖，带防盗圈，办商检，带刻度线和液位线，订单号：9213</t>
  </si>
  <si>
    <t>280G</t>
  </si>
  <si>
    <t>待办25.03</t>
  </si>
  <si>
    <t>88层*42+10袋*15</t>
  </si>
  <si>
    <t>4#</t>
  </si>
  <si>
    <t>1L-015</t>
  </si>
  <si>
    <t>7370黄</t>
  </si>
  <si>
    <t>黄瓶红盖，带量杯，办商检</t>
  </si>
  <si>
    <t>36层*140</t>
  </si>
  <si>
    <t>注意控制原料使用</t>
  </si>
  <si>
    <t>1L 阻隔瓶</t>
  </si>
  <si>
    <t>1L-011</t>
  </si>
  <si>
    <t>黄-4</t>
  </si>
  <si>
    <t>120G</t>
  </si>
  <si>
    <t>17袋*65</t>
  </si>
  <si>
    <t xml:space="preserve">1L-011黄-4 120G 带危包 </t>
  </si>
  <si>
    <t>500ML 阻隔瓶</t>
  </si>
  <si>
    <t>500ML-006</t>
  </si>
  <si>
    <t>10875紫色</t>
  </si>
  <si>
    <t>紫瓶白盖，带防盗圈，带量杯，LOGO白盖带刀口，刻海豚LOGO，紫瓶颜色如图，带UN，盖子及垫片不要有其他文字，需要收缩膜（32G/L阿维菌素EC）</t>
  </si>
  <si>
    <t>60G</t>
  </si>
  <si>
    <t>500ML-006 紫色 60G 带危包</t>
  </si>
  <si>
    <t>制单人：</t>
  </si>
  <si>
    <t xml:space="preserve">（ 9月26日 ）模具跟换计划报表 </t>
  </si>
  <si>
    <t>要求</t>
  </si>
  <si>
    <t>数量</t>
  </si>
  <si>
    <t>生产顺序</t>
  </si>
  <si>
    <t>备注</t>
  </si>
  <si>
    <t>准备模具</t>
  </si>
  <si>
    <t>1#</t>
  </si>
  <si>
    <t>白桶白盖，无液位+无刻度线</t>
  </si>
  <si>
    <t>待办24.06</t>
  </si>
  <si>
    <t>5L-201(1)</t>
  </si>
  <si>
    <t>白桶白盖，有防盗圈，带刻度线和液位线，带UN号</t>
  </si>
  <si>
    <t>7#</t>
  </si>
  <si>
    <t>1L-022</t>
  </si>
  <si>
    <t>白瓶绿盖，带防盗圈，带量杯，带刀口，L2024W153，烯草酮，货发昌乐</t>
  </si>
  <si>
    <t>生产24.06</t>
  </si>
  <si>
    <t>白瓶白盖，办商检，Y-CX1174</t>
  </si>
  <si>
    <t>500ML PE瓶</t>
  </si>
  <si>
    <t>500ML-005</t>
  </si>
  <si>
    <t>白瓶黄盖，带刀口，带量杯，盖带LOGO，带UN号（见右边附图）办商检，李HYF24500-150gl（溴虫腈+50gl氟虫腈SC ）发定远</t>
  </si>
  <si>
    <t>55G</t>
  </si>
  <si>
    <t>10#</t>
  </si>
  <si>
    <t>1L-005</t>
  </si>
  <si>
    <t>10875紫</t>
  </si>
  <si>
    <t>紫瓶紫盖，盖带LOGO（见右边附图）无防盗圈，带量杯（600克/升2，4D二甲胺盐水剂）</t>
  </si>
  <si>
    <t>1L-016</t>
  </si>
  <si>
    <t>本色</t>
  </si>
  <si>
    <t>本色瓶白盖，带防盗圈，带量杯（10克/升甲基二磺隆+2克/升碘甲磺隆钠盐+30克/升吡唑解草酯OD）</t>
  </si>
  <si>
    <t>盖子及克重</t>
  </si>
  <si>
    <t>配用瓶</t>
  </si>
  <si>
    <t>生产机台（一出几）</t>
  </si>
  <si>
    <t>产能（白班+夜班)</t>
  </si>
  <si>
    <t>50口径盖（10G）</t>
  </si>
  <si>
    <t>昆山好用专用</t>
  </si>
  <si>
    <t>45口径盖（9G）</t>
  </si>
  <si>
    <t>100ML-009</t>
  </si>
  <si>
    <t>45口径PET盖（9G）</t>
  </si>
  <si>
    <t>1L-101PET（盖不带防盗圈）</t>
  </si>
  <si>
    <t>45口径PET防盗盖（10G）带刀口</t>
  </si>
  <si>
    <t>250ML-101PET（盖带防盗圈）</t>
  </si>
  <si>
    <t>大口无刀口盖（14G）</t>
  </si>
  <si>
    <t>1L-004（带防盗圈,无刀口）</t>
  </si>
  <si>
    <t>大口刀口盖（14）</t>
  </si>
  <si>
    <t>1L-024</t>
  </si>
  <si>
    <t>大口刀口无防盗盖</t>
  </si>
  <si>
    <t>5L-205（无防盗）</t>
  </si>
  <si>
    <t>5L-206(1)</t>
  </si>
  <si>
    <t>大桶盖（带防盗圈）（27G）</t>
  </si>
  <si>
    <t>20L专用</t>
  </si>
  <si>
    <t>45口径翻边盖（不带刀口10G）</t>
  </si>
  <si>
    <t>500ML-004（有改模，但跟老款外观差不多）</t>
  </si>
  <si>
    <t>250ML-008瓶盖（切边防盗盖）</t>
  </si>
  <si>
    <t>250ML-008新</t>
  </si>
  <si>
    <t>小喇叭盖（15G）</t>
  </si>
  <si>
    <t>500ML-007</t>
  </si>
  <si>
    <t>大喇叭盖（21G）</t>
  </si>
  <si>
    <t>1L-007</t>
  </si>
  <si>
    <t>小帽盖（13G）</t>
  </si>
  <si>
    <t>1L-003</t>
  </si>
  <si>
    <t>龙灯盖（7G）</t>
  </si>
  <si>
    <t>中口盖（9G）</t>
  </si>
  <si>
    <t>100ML-002</t>
  </si>
  <si>
    <t>中口防盗盖（10G）</t>
  </si>
  <si>
    <t>500ML-006（带防盗圈）</t>
  </si>
  <si>
    <t>1L-011（带防盗圈）</t>
  </si>
  <si>
    <t>中口大防盗圈盖（10.3G）</t>
  </si>
  <si>
    <t>500ML-008（瓶带防盗圈）</t>
  </si>
  <si>
    <t>38口径小口盖（5G）</t>
  </si>
  <si>
    <t>100ML-003</t>
  </si>
  <si>
    <t>30口径内扣防盗盖（5G）</t>
  </si>
  <si>
    <t>100ML-008</t>
  </si>
  <si>
    <t>50口径内扣防盗盖（14G）</t>
  </si>
  <si>
    <t>1L-016（带防盗圈）</t>
  </si>
  <si>
    <t>38口径盖-20ML（5G）</t>
  </si>
  <si>
    <t>100ML-005</t>
  </si>
  <si>
    <t>100-007江苏禾本专用瓶</t>
  </si>
  <si>
    <t>100ML-007（带“禾本LOGO”）</t>
  </si>
  <si>
    <t>100ML-004盖</t>
  </si>
  <si>
    <t>100ML-004</t>
  </si>
  <si>
    <t>35口径盖</t>
  </si>
  <si>
    <t>150ML-001</t>
  </si>
  <si>
    <t>350ML-001瓶盖</t>
  </si>
  <si>
    <t>350ML-001</t>
  </si>
  <si>
    <t>500ML-009瓶盖（5.5G）</t>
  </si>
  <si>
    <t>1L-006瓶盖（9G）</t>
  </si>
  <si>
    <t>1L-006（只能做PE的，不好带UN号）</t>
  </si>
  <si>
    <t>3L-201桶盖（6.5G）</t>
  </si>
  <si>
    <t>3L-201</t>
  </si>
  <si>
    <t>3.8L桶盖（6.5G）</t>
  </si>
  <si>
    <t>3.8L（3.5L）</t>
  </si>
  <si>
    <t>18L-301桶盖（18G）</t>
  </si>
  <si>
    <t>18L-301</t>
  </si>
  <si>
    <t>5L-208专用盖(龙灯盖无防盗圈-有无刀口都可以)6.5G</t>
  </si>
  <si>
    <t>5L-208</t>
  </si>
  <si>
    <t>250ML-010瓶盖（4.5）</t>
  </si>
  <si>
    <t>250ML-010新</t>
  </si>
  <si>
    <t>45口径盖2</t>
  </si>
  <si>
    <t>1L-023新</t>
  </si>
  <si>
    <t>45口径PET盖2</t>
  </si>
  <si>
    <t>1LPET（500MLPET）中化作物通用</t>
  </si>
  <si>
    <t>江山020瓶盖（带刀口，无LOGO）</t>
  </si>
  <si>
    <t>1L-020（老瓶型）</t>
  </si>
  <si>
    <t>45口径盖（35ML）7G</t>
  </si>
  <si>
    <t>1L-021（瓶身带LOGO）</t>
  </si>
  <si>
    <t>100ML江山刀口盖</t>
  </si>
  <si>
    <t>250ML-003</t>
  </si>
  <si>
    <t>25ML量杯</t>
  </si>
  <si>
    <t>30ML量杯</t>
  </si>
  <si>
    <t>40ML量杯</t>
  </si>
  <si>
    <t>45口径量杯（50ML）</t>
  </si>
  <si>
    <t>中口量杯（50ML）</t>
  </si>
  <si>
    <t>70ML量杯</t>
  </si>
  <si>
    <t>80ML量杯</t>
  </si>
  <si>
    <t>大口量杯（100ML）</t>
  </si>
  <si>
    <t>大口量杯（250ML）</t>
  </si>
  <si>
    <t>瓶型</t>
  </si>
  <si>
    <t>产能</t>
  </si>
  <si>
    <t>COEX</t>
  </si>
  <si>
    <t>HDPE</t>
  </si>
  <si>
    <t>100ML-001</t>
  </si>
  <si>
    <t>1L-001</t>
  </si>
  <si>
    <t>1L-004</t>
  </si>
  <si>
    <t>100ML-006</t>
  </si>
  <si>
    <t>1L-008</t>
  </si>
  <si>
    <t>1L-009</t>
  </si>
  <si>
    <t>200ML-001</t>
  </si>
  <si>
    <t>200ML-002</t>
  </si>
  <si>
    <t>1L-013</t>
  </si>
  <si>
    <t>200ML-003</t>
  </si>
  <si>
    <t>1L-014</t>
  </si>
  <si>
    <t>200ML-004</t>
  </si>
  <si>
    <t>250ML-001</t>
  </si>
  <si>
    <t>250ML-002</t>
  </si>
  <si>
    <t>1L-012</t>
  </si>
  <si>
    <t>250ML-004</t>
  </si>
  <si>
    <t>1L-017</t>
  </si>
  <si>
    <t>250ML-005</t>
  </si>
  <si>
    <t>1L-019</t>
  </si>
  <si>
    <t>250ML-007</t>
  </si>
  <si>
    <t>250ML-008</t>
  </si>
  <si>
    <t>1L-023</t>
  </si>
  <si>
    <t>400ML-001</t>
  </si>
  <si>
    <t>500ML-001</t>
  </si>
  <si>
    <t>5L-207</t>
  </si>
  <si>
    <t>500ML-002</t>
  </si>
  <si>
    <t>2L-201</t>
  </si>
  <si>
    <t>500ML-003</t>
  </si>
  <si>
    <t>4L-201</t>
  </si>
  <si>
    <t>500ML-004</t>
  </si>
  <si>
    <t>4L-202</t>
  </si>
  <si>
    <t>5L-202</t>
  </si>
  <si>
    <t>5L-203</t>
  </si>
  <si>
    <t>500ML-008</t>
  </si>
  <si>
    <t>5L-204</t>
  </si>
  <si>
    <t>500ML-009</t>
  </si>
  <si>
    <t>5L-205</t>
  </si>
  <si>
    <t>500ML-011</t>
  </si>
  <si>
    <t>5L-206</t>
  </si>
  <si>
    <t>500ML-014</t>
  </si>
  <si>
    <t>800ML-001</t>
  </si>
  <si>
    <t>5L-209</t>
  </si>
  <si>
    <t>900ML-001</t>
  </si>
  <si>
    <t>10L-201</t>
  </si>
  <si>
    <t>10L-202</t>
  </si>
  <si>
    <t>10L-203</t>
  </si>
  <si>
    <t>20L-302</t>
  </si>
  <si>
    <t>20L-303</t>
  </si>
  <si>
    <t>20L-304</t>
  </si>
  <si>
    <t>20L-305</t>
  </si>
  <si>
    <t>20L-307</t>
  </si>
  <si>
    <t>25L-301</t>
  </si>
  <si>
    <t xml:space="preserve">（3月13）宸祺橡塑科技有限公司产量计划预计报表 </t>
  </si>
  <si>
    <t>未生产数量</t>
  </si>
  <si>
    <t>需要生产的层数或者托数</t>
  </si>
  <si>
    <t>装袋总数量</t>
  </si>
  <si>
    <t>总托</t>
  </si>
  <si>
    <t>每层/每托数量</t>
  </si>
  <si>
    <t>A2</t>
  </si>
  <si>
    <t>4L PE桶</t>
  </si>
  <si>
    <t>白色HDPE桶。白色桶盖，不要UN,含盖250克,上海赛科全新料 ,C20260209602史高宏6%硝磺草酮+20%莠去津SC</t>
  </si>
  <si>
    <t>243G</t>
  </si>
  <si>
    <t>72层*42+3袋</t>
  </si>
  <si>
    <t>白桶白盖，不要商检，外包装合格证：ZJZY2602015</t>
  </si>
  <si>
    <t>230G</t>
  </si>
  <si>
    <t>外包装合格证：ZJZY2602015</t>
  </si>
  <si>
    <t>A4</t>
  </si>
  <si>
    <t>白桶白盖，桶身带刻度线，铝箔垫片感应封口，不商检，桶身不带UN，发博兴</t>
  </si>
  <si>
    <t>21层*42+2袋+4只</t>
  </si>
  <si>
    <t>3.5L PE桶</t>
  </si>
  <si>
    <t>3.5L-202</t>
  </si>
  <si>
    <t>本色桶白盖，垦瑞妥4kg</t>
  </si>
  <si>
    <t>200G</t>
  </si>
  <si>
    <t>垦瑞妥4kg</t>
  </si>
  <si>
    <t>A3</t>
  </si>
  <si>
    <t>4L-205</t>
  </si>
  <si>
    <t>透明瓶</t>
  </si>
  <si>
    <t>透明桶绿盖（农裕绿）瓶盖带标（见附图）带UN号，不办商检</t>
  </si>
  <si>
    <t>生产25.12</t>
  </si>
  <si>
    <t>38只</t>
  </si>
  <si>
    <t>白桶白盖，办商检（性能单要加急出）</t>
  </si>
  <si>
    <t>550G</t>
  </si>
  <si>
    <t>待办25.12</t>
  </si>
  <si>
    <t>B5</t>
  </si>
  <si>
    <t>1L -002</t>
  </si>
  <si>
    <t>白瓶白盖，带量杯，带UN号，办商检，20G/L甲维盐乳油， NJJL512030,货发蚌埠</t>
  </si>
  <si>
    <t>C3</t>
  </si>
  <si>
    <t>白瓶绿盖，盖是242绿（已和K确认，按之前的翻单号的颜色就行）盖子颜色要和PN2408/0007一致的，克重120G.进口黑手套铝箔垫，带UN号，办商检，此单对应PN0023/2602</t>
  </si>
  <si>
    <t>1L阻隔瓶</t>
  </si>
  <si>
    <t>D3</t>
  </si>
  <si>
    <t>白瓶绿盖，带防盗圈，带UN号，带量杯，黑手套铝箔垫，丁莠，H2026W023，货发商河</t>
  </si>
  <si>
    <t>1层*213</t>
  </si>
  <si>
    <t>100ML PE方瓶</t>
  </si>
  <si>
    <t>组合子瓶</t>
  </si>
  <si>
    <t>白瓶绿盖，带量杯，绿盖带刀口，不带UN，不要收缩膜，385G/L双草醚SC</t>
  </si>
  <si>
    <t>19G</t>
  </si>
  <si>
    <t>D6</t>
  </si>
  <si>
    <t>白瓶黄盖，带量杯，黄盖带刀口，盖子颜色先确认，带UN，需要收缩膜，25G/L吡虫啉+50G/L氯氰菊酯EC</t>
  </si>
  <si>
    <t>65G</t>
  </si>
  <si>
    <t>13层*257+1袋</t>
  </si>
  <si>
    <t>白瓶白盖，带量杯，480G/L甲磺草胺悬浮剂</t>
  </si>
  <si>
    <t>已办25.12</t>
  </si>
  <si>
    <t>白瓶白盖，瓶身克重50G，不带UN号</t>
  </si>
  <si>
    <t>50G</t>
  </si>
  <si>
    <t>C5</t>
  </si>
  <si>
    <t>白瓶紫盖，带防盗圈，带量杯，紫盖带刀口，颜色如图，带UN，需要收缩膜，70G/L虱螨脲+200G/L虫螨腈SC</t>
  </si>
  <si>
    <t>生产机台</t>
  </si>
  <si>
    <t>接单日期</t>
  </si>
  <si>
    <t>客户</t>
  </si>
  <si>
    <t>编号</t>
  </si>
  <si>
    <t>类型</t>
  </si>
  <si>
    <t>要 求</t>
  </si>
  <si>
    <t>瓶身克重</t>
  </si>
  <si>
    <t>生产数量</t>
  </si>
  <si>
    <t>已生产数量</t>
  </si>
  <si>
    <t>整托</t>
  </si>
  <si>
    <t>装袋</t>
  </si>
  <si>
    <t>每托数量</t>
  </si>
  <si>
    <t>配损量</t>
  </si>
  <si>
    <t>111兰溪京杭</t>
  </si>
  <si>
    <t>GQJH111-040101</t>
  </si>
  <si>
    <t>5L-209（带标）</t>
  </si>
  <si>
    <t>半透明桶白盖，桶身重280G，桶肩、盖都带“APOLLO”标（见附图），不带UN号</t>
  </si>
  <si>
    <t>A5</t>
  </si>
  <si>
    <t>003南通泰禾</t>
  </si>
  <si>
    <t>CDNT25040085</t>
  </si>
  <si>
    <t>白桶白盖，不带UN号</t>
  </si>
  <si>
    <t>001金陵</t>
  </si>
  <si>
    <t>0307宁波三益生物科技有限公司-25-SJ20-PO-HW21-1463（张红）</t>
  </si>
  <si>
    <t>白桶绿盖，带防盗圈，带UN号（350克/升噻虫嗪种子处理悬浮剂（红色）FS）</t>
  </si>
  <si>
    <t xml:space="preserve">                    </t>
  </si>
  <si>
    <t>187南通圆融</t>
  </si>
  <si>
    <t>GQYR187-032706</t>
  </si>
  <si>
    <t>20L PE桶</t>
  </si>
  <si>
    <t>白桶白盖，办商检，不带防尘袋，YR-NE2025014 -发货注意别弄脏桶，贴标签</t>
  </si>
  <si>
    <t>1450G</t>
  </si>
  <si>
    <t>已办25.04</t>
  </si>
  <si>
    <t>0402宁波三益生物科技有限公司25-SJ20-PO-HQ31-1753（张红）</t>
  </si>
  <si>
    <t>BN80253土豪金</t>
  </si>
  <si>
    <t>土豪金桶土豪金盖，带防盗圈，带UN号，内塞，请注意桶和盖的颜色，务必前后一致（608克/升草甘膦二甲胺盐水剂 （470酸）危险品）</t>
  </si>
  <si>
    <t>B1</t>
  </si>
  <si>
    <t>0113chem-agro-CA24T0031（杨鑫梅）</t>
  </si>
  <si>
    <t>白瓶绿盖，720G/L24D 1000KL</t>
  </si>
  <si>
    <t>生产24.12</t>
  </si>
  <si>
    <t>B2</t>
  </si>
  <si>
    <t>098山东先达</t>
  </si>
  <si>
    <t>XDNHBC250415</t>
  </si>
  <si>
    <t>1L-025</t>
  </si>
  <si>
    <t>先达1号瓶：白瓶白盖，盖子和铝箔带先达股份标志，使用鼎贞、齐星或紫菱垫片；先达金斩产品使用，内销不带UN</t>
  </si>
  <si>
    <t>B3</t>
  </si>
  <si>
    <t>255济南乐丰</t>
  </si>
  <si>
    <t>CQLF255-041002（王）</t>
  </si>
  <si>
    <t>1L-008（带标）</t>
  </si>
  <si>
    <t>白瓶红盖，不带防盗圈，带量杯，带刀口，瓶盖带狮子标，瓶肩带GAC字母，精氟，H2025W084，货发商河，LOGO刻好要和客户确认在生产</t>
  </si>
  <si>
    <t>生产25.03</t>
  </si>
  <si>
    <t>B4</t>
  </si>
  <si>
    <t>086南通江山</t>
  </si>
  <si>
    <t>备货单</t>
  </si>
  <si>
    <t>1L-021</t>
  </si>
  <si>
    <t>白瓶红盖，1L红灵达（备货单）</t>
  </si>
  <si>
    <t>124浙江禾本</t>
  </si>
  <si>
    <t>20250417-01</t>
  </si>
  <si>
    <t>白瓶白盖，不要商检，外包装贴合格证：HBP2025116</t>
  </si>
  <si>
    <t>035江苏莱科</t>
  </si>
  <si>
    <t>GQLK035-040702（周）</t>
  </si>
  <si>
    <t>白瓶蓝盖，办商检</t>
  </si>
  <si>
    <t>C4</t>
  </si>
  <si>
    <t>GQYR187-040304</t>
  </si>
  <si>
    <t>BN80233咖啡棕</t>
  </si>
  <si>
    <t>棕瓶红盖，百草枯黑手套铝箔，办商检，YR-NE2025021</t>
  </si>
  <si>
    <t>103瑞辰植保</t>
  </si>
  <si>
    <t>GQRC103-042104（盛）</t>
  </si>
  <si>
    <t>1L-011（带标）</t>
  </si>
  <si>
    <t>白瓶绿盖，带量杯，瓶肩带“petrochem”标，瓶盖带凹槽尖刀和防盗圈，黑手套铝箔，不带UN号，盛NJAJ2490溴氰，发定远</t>
  </si>
  <si>
    <t>091江苏艾津</t>
  </si>
  <si>
    <t>待客户做合同</t>
  </si>
  <si>
    <t>白瓶深绿盖，带量杯，瓶带LOGO（petrochem）,瓶盖带凹槽，带尖刀和防盗圈，铝箔垫片有黑手套开瓶标记，不带UN号；PP号：PP0138/2504</t>
  </si>
  <si>
    <t>GQRC103-042202（盛）</t>
  </si>
  <si>
    <t>白瓶绿盖，带量杯，瓶肩带“petrochem”标，瓶盖带凹槽尖刀和防盗圈，黑手套铝箔，不带UN号，盛NJAJ939丙氯，发定远</t>
  </si>
  <si>
    <t>白瓶绿盖，带量杯，瓶肩带“petrochem”标，瓶盖带凹槽尖刀和防盗圈，黑手套铝箔，不带UN号，盛NJAJ940功夫，发定远</t>
  </si>
  <si>
    <t>白瓶绿盖，带量杯，瓶肩带“petrochem”标，瓶盖带凹槽尖刀和防盗圈，黑手套铝箔，不带UN号，盛NJAJ941功夫低，发定远</t>
  </si>
  <si>
    <t>C6</t>
  </si>
  <si>
    <t>0331沐农MN20250310C（於晓娟）</t>
  </si>
  <si>
    <t>白瓶蓝盖，LOGO蓝盖带刀口盖带“TROPICAL”LOGO（见附图），带量杯，瓶肩带镶块，不带UN信息，需要收缩膜（150G/L草铵膦水剂）</t>
  </si>
  <si>
    <t>D2</t>
  </si>
  <si>
    <t>296河北农信</t>
  </si>
  <si>
    <t>GQNX296-041502</t>
  </si>
  <si>
    <t>250ML 阻隔瓶</t>
  </si>
  <si>
    <t>白瓶绿盖，不带UN，-大货标签以及送货单都备注：赵倩004订单</t>
  </si>
  <si>
    <t>35G</t>
  </si>
  <si>
    <t>0418江苏克胜HSP251172（茅晓华）</t>
  </si>
  <si>
    <t>白瓶白盖，带防盗圈，带量杯，带UN号（6.9% 精恶唑禾草灵EW（安全剂））</t>
  </si>
  <si>
    <t>034宜洲生物</t>
  </si>
  <si>
    <t>GQYZ034-040203（戴）</t>
  </si>
  <si>
    <t>200ML 阻隔瓶</t>
  </si>
  <si>
    <t>白瓶白盖，带量杯，盖带SNOW标，办商检，d-hg25032401-Z</t>
  </si>
  <si>
    <t>080漯河新旺</t>
  </si>
  <si>
    <t>GQXW080-042101</t>
  </si>
  <si>
    <t>白瓶白盖，盖带SNOW标，带量杯，敌敌畏黑手套铝箔，XS-20250408002</t>
  </si>
  <si>
    <t>30G</t>
  </si>
  <si>
    <t>290安徽丰臣</t>
  </si>
  <si>
    <t>GQFC290-042103（胡）</t>
  </si>
  <si>
    <t>白瓶白盖，带量杯，盖带SNOW标，双甲脒EC ，胡NJHG250402，发定远</t>
  </si>
  <si>
    <t>D4</t>
  </si>
  <si>
    <t>GQYZ034-032201（吴）</t>
  </si>
  <si>
    <t>100ML PE瓶</t>
  </si>
  <si>
    <t>白瓶白盖，带量杯，办商检，订单号：X-HXGM0418</t>
  </si>
  <si>
    <t>006好收成</t>
  </si>
  <si>
    <t>GQHSC006-041501</t>
  </si>
  <si>
    <t>100ML 阻隔瓶</t>
  </si>
  <si>
    <t>白瓶白盖</t>
  </si>
  <si>
    <t>20G</t>
  </si>
  <si>
    <r>
      <rPr>
        <rFont val="宋体"/>
        <charset val="134"/>
        <b val="1"/>
        <color theme="1"/>
        <sz val="10"/>
        <scheme val="minor"/>
      </rPr>
      <t xml:space="preserve">余数包装量  </t>
    </r>
    <r>
      <rPr>
        <rFont val="宋体"/>
        <charset val="134"/>
        <b val="1"/>
        <color rgb="FFFF0000"/>
        <sz val="10"/>
        <scheme val="minor"/>
      </rPr>
      <t>（包含配损）</t>
    </r>
  </si>
  <si>
    <r>
      <rPr>
        <rFont val="宋体"/>
        <charset val="134"/>
        <color rgb="FFFF0000"/>
        <sz val="11"/>
      </rPr>
      <t>黄瓶白盖，带量杯，办商检，月份24.12，订单号d-zj1536</t>
    </r>
    <r>
      <rPr>
        <rFont val="宋体"/>
        <charset val="134"/>
        <color rgb="FFFF0000"/>
        <sz val="11"/>
      </rPr>
      <t xml:space="preserve">  </t>
    </r>
  </si>
  <si>
    <r>
      <rPr>
        <rFont val="宋体"/>
        <charset val="134"/>
        <b val="1"/>
        <color rgb="FFFF0000"/>
        <sz val="14"/>
        <scheme val="minor"/>
      </rPr>
      <t>注意：</t>
    </r>
    <r>
      <rPr>
        <rFont val="宋体"/>
        <charset val="134"/>
        <b val="1"/>
        <color theme="1"/>
        <sz val="14"/>
        <scheme val="minor"/>
      </rPr>
      <t>预计控制使用原料的时间仅为预估，具体还要根据实际生产来把控原料的使用。要想不浪费原料，也需要各位质检、机修师傅、加料师傅的互相配合，谢谢！</t>
    </r>
    <r>
      <rPr>
        <rFont val="宋体"/>
        <charset val="134"/>
        <b val="1"/>
        <color rgb="FFFF0000"/>
        <sz val="14"/>
        <scheme val="minor"/>
      </rPr>
      <t>以后标黄色的 ，是要打的大标签</t>
    </r>
  </si>
  <si>
    <r>
      <rPr>
        <rFont val="宋体"/>
        <charset val="134"/>
        <color theme="1"/>
        <sz val="11"/>
        <scheme val="minor"/>
      </rPr>
      <t>200ML-001（带防盗圈，</t>
    </r>
    <r>
      <rPr>
        <rFont val="宋体"/>
        <charset val="134"/>
        <color rgb="FFFF0000"/>
        <sz val="11"/>
        <scheme val="minor"/>
      </rPr>
      <t>有不带防盗圈的</t>
    </r>
    <r>
      <rPr>
        <rFont val="宋体"/>
        <charset val="134"/>
        <color theme="1"/>
        <sz val="11"/>
        <scheme val="minor"/>
      </rPr>
      <t>）</t>
    </r>
  </si>
  <si>
    <r>
      <rPr>
        <rFont val="宋体"/>
        <charset val="134"/>
        <color theme="1"/>
        <sz val="11"/>
        <scheme val="minor"/>
      </rPr>
      <t>500ML-009</t>
    </r>
    <r>
      <rPr>
        <rFont val="宋体"/>
        <charset val="134"/>
        <color rgb="FFC00000"/>
        <sz val="11"/>
        <scheme val="minor"/>
      </rPr>
      <t>（新量杯）</t>
    </r>
  </si>
  <si>
    <r>
      <rPr>
        <rFont val="KaiTi"/>
        <charset val="134"/>
        <b val="1"/>
        <sz val="12"/>
      </rPr>
      <t xml:space="preserve">余数包装量 </t>
    </r>
    <r>
      <rPr>
        <rFont val="宋体"/>
        <charset val="134"/>
        <b val="1"/>
        <color rgb="FFFF0000"/>
        <sz val="12"/>
        <scheme val="minor"/>
      </rPr>
      <t xml:space="preserve"> （包含配损）</t>
    </r>
  </si>
  <si>
    <r>
      <rPr>
        <rFont val="宋体"/>
        <charset val="134"/>
        <b val="1"/>
        <color rgb="FFFF0000"/>
        <sz val="10"/>
        <scheme val="minor"/>
      </rPr>
      <t>注意：</t>
    </r>
    <r>
      <rPr>
        <rFont val="宋体"/>
        <charset val="134"/>
        <b val="1"/>
        <color theme="1"/>
        <sz val="10"/>
        <scheme val="minor"/>
      </rPr>
      <t>预计控制使用原料的时间仅为预估，具体还要根据实际生产来把控原料的使用。要想不浪费原料，也需要各位质检、机修师傅、加料师傅的互相配合，谢谢！</t>
    </r>
    <r>
      <rPr>
        <rFont val="宋体"/>
        <charset val="134"/>
        <b val="1"/>
        <color rgb="FFFF0000"/>
        <sz val="10"/>
        <scheme val="minor"/>
      </rPr>
      <t>以后标黄色的 ，是要打的大标签</t>
    </r>
  </si>
  <si>
    <r>
      <rPr>
        <rFont val="宋体"/>
        <charset val="134"/>
        <color rgb="FF7030A0"/>
        <sz val="11"/>
      </rPr>
      <t>不带UN</t>
    </r>
    <r>
      <rPr>
        <rFont val="宋体"/>
        <charset val="134"/>
        <color rgb="FF7030A0"/>
        <sz val="11"/>
      </rPr>
      <t xml:space="preserve"> </t>
    </r>
  </si>
  <si>
    <r>
      <rPr>
        <rFont val="宋体"/>
        <charset val="134"/>
        <b val="1"/>
        <color rgb="FFFF0000"/>
        <sz val="11"/>
      </rPr>
      <t>120G</t>
    </r>
    <r>
      <rPr>
        <rFont val="宋体"/>
        <charset val="134"/>
        <b val="1"/>
        <color rgb="FFFF0000"/>
        <sz val="11"/>
      </rPr>
      <t xml:space="preserve"> </t>
    </r>
  </si>
  <si>
    <r>
      <rPr>
        <rFont val="宋体"/>
        <charset val="134"/>
        <b val="1"/>
        <color rgb="FFFF0000"/>
        <sz val="11"/>
      </rPr>
      <t>18G</t>
    </r>
    <r>
      <rPr>
        <rFont val="宋体"/>
        <charset val="134"/>
        <b val="1"/>
        <color rgb="FFFF0000"/>
        <sz val="11"/>
      </rPr>
      <t xml:space="preserve"> </t>
    </r>
  </si>
</sst>
</file>

<file path=xl/styles.xml><?xml version="1.0" encoding="utf-8"?>
<styleSheet xmlns="http://schemas.openxmlformats.org/spreadsheetml/2006/main">
  <numFmts count="9">
    <numFmt numFmtId="300" formatCode="0_ "/>
    <numFmt numFmtId="301" formatCode="0.0_ "/>
    <numFmt numFmtId="302" formatCode="yy/m/d;@"/>
    <numFmt numFmtId="303" formatCode="General"/>
    <numFmt numFmtId="304" formatCode="_ * #,##0.00_ ;_ * \-#,##0.00_ ;_ * &quot;-&quot;??_ ;_ @_ "/>
    <numFmt numFmtId="305" formatCode="_ &quot;￥&quot;* #,##0.00_ ;_ &quot;￥&quot;* \-#,##0.00_ ;_ &quot;￥&quot;* &quot;-&quot;??_ ;_ @_ "/>
    <numFmt numFmtId="306" formatCode="0%"/>
    <numFmt numFmtId="307" formatCode="_ * #,##0_ ;_ * \-#,##0_ ;_ * &quot;-&quot;_ ;_ @_ "/>
    <numFmt numFmtId="308" formatCode="_ &quot;￥&quot;* #,##0_ ;_ &quot;￥&quot;* \-#,##0_ ;_ &quot;￥&quot;* &quot;-&quot;_ ;_ @_ "/>
  </numFmts>
  <fonts count="9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7030A0"/>
      <sz val="20"/>
      <scheme val="minor"/>
    </font>
    <font>
      <name val="宋体"/>
      <charset val="134"/>
      <b val="1"/>
      <color rgb="FFFF0000"/>
      <sz val="2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rgb="FF000000"/>
      <sz val="12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 tint="0.35"/>
      <sz val="11"/>
      <scheme val="minor"/>
    </font>
    <font>
      <name val="KaiTi"/>
      <charset val="134"/>
      <b val="1"/>
      <sz val="12"/>
    </font>
    <font>
      <name val="宋体"/>
      <charset val="134"/>
      <b val="1"/>
      <color rgb="FFFF0000"/>
      <sz val="12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color rgb="FFC00000"/>
      <sz val="12"/>
    </font>
    <font>
      <name val="宋体"/>
      <charset val="134"/>
      <b val="1"/>
      <color theme="1"/>
      <sz val="11"/>
      <scheme val="minor"/>
    </font>
    <font>
      <name val="SimSun"/>
      <charset val="134"/>
      <b val="1"/>
      <color rgb="FF000000"/>
      <sz val="12"/>
    </font>
    <font>
      <name val="宋体"/>
      <charset val="134"/>
      <color rgb="FF7030A0"/>
      <sz val="11"/>
    </font>
    <font>
      <name val="宋体"/>
      <charset val="134"/>
      <b val="1"/>
      <color rgb="FFFF0000"/>
      <sz val="12"/>
    </font>
    <font>
      <name val="宋体"/>
      <charset val="134"/>
      <b val="1"/>
      <color theme="5" tint="-0.25"/>
      <sz val="14"/>
      <scheme val="minor"/>
    </font>
    <font>
      <name val="宋体"/>
      <charset val="134"/>
      <b val="1"/>
      <color rgb="FFFF0000"/>
      <sz val="14"/>
      <scheme val="minor"/>
    </font>
    <font>
      <name val="宋体"/>
      <charset val="134"/>
      <color rgb="FFFF0000"/>
      <sz val="11"/>
    </font>
    <font>
      <name val="宋体"/>
      <charset val="134"/>
      <b val="1"/>
      <color rgb="FFFF0000"/>
      <sz val="11"/>
    </font>
    <font>
      <name val="SimSun"/>
      <charset val="134"/>
      <b val="1"/>
      <color rgb="FFFF0000"/>
      <sz val="12"/>
    </font>
    <font>
      <name val="宋体"/>
      <charset val="134"/>
      <b val="1"/>
      <sz val="11"/>
      <scheme val="minor"/>
    </font>
    <font>
      <name val="SimSun"/>
      <charset val="134"/>
      <b val="1"/>
      <color rgb="FFFF0000"/>
      <sz val="14"/>
    </font>
    <font>
      <name val="宋体"/>
      <charset val="134"/>
      <b val="1"/>
      <color rgb="FF7030A0"/>
      <sz val="11"/>
    </font>
    <font>
      <name val="宋体"/>
      <charset val="134"/>
      <b val="1"/>
      <sz val="14"/>
      <scheme val="minor"/>
    </font>
    <font>
      <name val="宋体"/>
      <charset val="134"/>
      <b val="1"/>
      <color rgb="FF7030A0"/>
      <sz val="16"/>
      <scheme val="minor"/>
    </font>
    <font>
      <name val="宋体"/>
      <charset val="134"/>
      <b val="1"/>
      <color rgb="FFFF0000"/>
      <sz val="16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3"/>
      <scheme val="minor"/>
    </font>
    <font>
      <name val="宋体"/>
      <charset val="134"/>
      <b val="1"/>
      <color rgb="FFC00000"/>
      <sz val="11"/>
    </font>
    <font>
      <name val="宋体"/>
      <charset val="134"/>
      <b val="1"/>
      <color rgb="FF0C306E"/>
      <sz val="11"/>
    </font>
    <font>
      <name val="宋体"/>
      <charset val="134"/>
      <b val="1"/>
      <color rgb="FFFF0000"/>
      <sz val="13"/>
      <scheme val="minor"/>
    </font>
    <font>
      <name val="宋体"/>
      <charset val="134"/>
      <b val="1"/>
      <color theme="4"/>
      <sz val="12"/>
    </font>
    <font>
      <name val="宋体"/>
      <charset val="134"/>
      <b val="1"/>
      <color theme="5"/>
      <sz val="12"/>
      <scheme val="minor"/>
    </font>
    <font>
      <name val="宋体"/>
      <charset val="134"/>
      <b val="1"/>
      <color rgb="FFFF0000"/>
      <sz val="9"/>
      <scheme val="minor"/>
    </font>
    <font>
      <name val="SimSun"/>
      <charset val="134"/>
      <b val="1"/>
      <color rgb="FF262626"/>
      <sz val="12"/>
    </font>
    <font>
      <name val="宋体"/>
      <charset val="134"/>
      <b val="1"/>
      <sz val="9"/>
      <scheme val="minor"/>
    </font>
    <font>
      <name val="宋体"/>
      <charset val="134"/>
      <color rgb="FF000000"/>
      <sz val="9"/>
    </font>
    <font>
      <name val="宋体"/>
      <charset val="134"/>
      <color rgb="FFFF0000"/>
      <sz val="9"/>
    </font>
    <font>
      <name val="宋体"/>
      <charset val="134"/>
      <b val="1"/>
      <color rgb="FF000000"/>
      <sz val="11"/>
    </font>
    <font>
      <name val="宋体"/>
      <charset val="134"/>
      <b val="1"/>
      <color rgb="FF00B0F0"/>
      <sz val="11"/>
    </font>
    <font>
      <name val="Calibri"/>
      <charset val="134"/>
      <color theme="1"/>
      <sz val="12"/>
    </font>
    <font>
      <name val="宋体"/>
      <charset val="134"/>
      <b val="1"/>
      <color rgb="FF7030A0"/>
      <sz val="18"/>
      <scheme val="minor"/>
    </font>
    <font>
      <name val="宋体"/>
      <charset val="134"/>
      <b val="1"/>
      <color rgb="FFFF0000"/>
      <sz val="18"/>
      <scheme val="minor"/>
    </font>
    <font>
      <name val="KaiTi"/>
      <charset val="134"/>
      <b val="1"/>
      <color theme="1"/>
      <sz val="12"/>
    </font>
    <font>
      <name val="KaiTi"/>
      <charset val="134"/>
      <b val="1"/>
      <sz val="10"/>
    </font>
    <font>
      <name val="KaiTi"/>
      <charset val="134"/>
      <b val="1"/>
      <sz val="11"/>
    </font>
    <font>
      <name val="KaiTi"/>
      <charset val="134"/>
      <b val="1"/>
      <color rgb="FFFF0000"/>
      <sz val="12"/>
    </font>
    <font>
      <name val="SimSun"/>
      <charset val="134"/>
      <color rgb="FF000000"/>
      <sz val="10"/>
    </font>
    <font>
      <name val="SimSun"/>
      <charset val="134"/>
      <color rgb="FFFF0000"/>
      <sz val="10"/>
    </font>
    <font>
      <name val="SimSun"/>
      <charset val="134"/>
      <b val="1"/>
      <color rgb="FFFF0000"/>
      <sz val="10"/>
    </font>
    <font>
      <name val="宋体"/>
      <charset val="134"/>
      <b val="1"/>
      <color rgb="FFDE322C"/>
      <sz val="11"/>
      <scheme val="minor"/>
    </font>
    <font>
      <name val="宋体"/>
      <charset val="134"/>
      <b val="1"/>
      <color rgb="FFFF0000"/>
      <sz val="10"/>
      <scheme val="minor"/>
    </font>
    <font>
      <name val="宋体"/>
      <charset val="134"/>
      <b val="1"/>
      <color rgb="FF000000"/>
      <sz val="11"/>
      <scheme val="minor"/>
    </font>
    <font>
      <name val="SimSun"/>
      <charset val="134"/>
      <color rgb="FF000000"/>
      <sz val="11"/>
    </font>
    <font>
      <name val="宋体"/>
      <charset val="134"/>
      <color rgb="FFDE322C"/>
      <sz val="11"/>
      <scheme val="minor"/>
    </font>
    <font>
      <name val="SimSun"/>
      <charset val="134"/>
      <color rgb="FFFF0000"/>
      <sz val="11"/>
    </font>
    <font>
      <name val="SimSun"/>
      <charset val="134"/>
      <b val="1"/>
      <color rgb="FFFF0000"/>
      <sz val="11"/>
    </font>
    <font>
      <name val="宋体"/>
      <charset val="134"/>
      <color theme="1"/>
      <sz val="8"/>
      <scheme val="minor"/>
    </font>
    <font>
      <name val="KaiTi"/>
      <charset val="134"/>
      <b val="1"/>
      <color rgb="FF000000"/>
      <sz val="14"/>
    </font>
    <font>
      <name val="KaiTi"/>
      <charset val="134"/>
      <b val="1"/>
      <color rgb="FFFF0000"/>
      <sz val="14"/>
    </font>
    <font>
      <name val="KaiTi"/>
      <charset val="134"/>
      <b val="1"/>
      <color rgb="FF262626"/>
      <sz val="14"/>
    </font>
    <font>
      <name val="KaiTi"/>
      <charset val="134"/>
      <b val="1"/>
      <color rgb="FF0C306E"/>
      <sz val="14"/>
    </font>
    <font>
      <name val="宋体"/>
      <charset val="134"/>
      <b val="1"/>
      <color rgb="FF000000"/>
      <sz val="16"/>
    </font>
    <font>
      <name val="宋体"/>
      <charset val="134"/>
      <b val="1"/>
      <color rgb="FF000000"/>
      <sz val="9"/>
    </font>
    <font>
      <name val="SimSun"/>
      <charset val="134"/>
      <b val="1"/>
      <color theme="4" tint="-0.25"/>
      <sz val="12"/>
    </font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3" fontId="70" fillId="0" borderId="22" xfId="0">
      <alignment vertical="center"/>
    </xf>
    <xf numFmtId="303" fontId="71" fillId="14" borderId="23" xfId="0" applyNumberFormat="0" applyFill="0" applyAlignment="0" applyProtection="0">
      <alignment vertical="center"/>
    </xf>
    <xf numFmtId="303" fontId="72" fillId="14" borderId="24" xfId="0" applyNumberFormat="0" applyFill="0" applyAlignment="0" applyProtection="0">
      <alignment vertical="center"/>
    </xf>
    <xf numFmtId="303" fontId="73" fillId="13" borderId="25" xfId="0" applyNumberFormat="0" applyAlignment="0" applyProtection="0">
      <alignment vertical="center"/>
    </xf>
    <xf numFmtId="303" fontId="74" fillId="15" borderId="26" xfId="0" applyNumberFormat="0" applyAlignment="0" applyProtection="0">
      <alignment vertical="center"/>
    </xf>
    <xf numFmtId="303" fontId="75" fillId="15" borderId="27" xfId="0" applyNumberFormat="0" applyAlignment="0" applyProtection="0">
      <alignment vertical="center"/>
    </xf>
    <xf numFmtId="303" fontId="76" fillId="16" borderId="26" xfId="0" applyNumberFormat="0" applyAlignment="0" applyProtection="0">
      <alignment vertical="center"/>
    </xf>
    <xf numFmtId="303" fontId="77" fillId="17" borderId="22" xfId="0" applyNumberFormat="0" applyBorder="0" applyAlignment="0" applyProtection="0">
      <alignment vertical="center"/>
    </xf>
    <xf numFmtId="303" fontId="78" fillId="14" borderId="28" xfId="0" applyNumberFormat="0" applyFill="0" applyAlignment="0" applyProtection="0">
      <alignment vertical="center"/>
    </xf>
    <xf numFmtId="303" fontId="79" fillId="14" borderId="22" xfId="0" applyNumberFormat="0" applyFill="0" applyBorder="0" applyAlignment="0" applyProtection="0">
      <alignment vertical="center"/>
    </xf>
    <xf numFmtId="303" fontId="70" fillId="18" borderId="29" xfId="0" applyNumberFormat="0" applyFont="0" applyAlignment="0" applyProtection="0">
      <alignment vertical="center"/>
    </xf>
    <xf numFmtId="303" fontId="80" fillId="19" borderId="22" xfId="0" applyNumberFormat="0" applyBorder="0" applyAlignment="0" applyProtection="0">
      <alignment vertical="center"/>
    </xf>
    <xf numFmtId="303" fontId="81" fillId="14" borderId="22" xfId="0" applyNumberFormat="0" applyFill="0" applyBorder="0" applyAlignment="0" applyProtection="0">
      <alignment vertical="center"/>
    </xf>
    <xf numFmtId="303" fontId="77" fillId="20" borderId="22" xfId="0" applyNumberFormat="0" applyBorder="0" applyAlignment="0" applyProtection="0">
      <alignment vertical="center"/>
    </xf>
    <xf numFmtId="304" fontId="70" fillId="14" borderId="22" xfId="0" applyFont="0" applyFill="0" applyBorder="0" applyAlignment="0" applyProtection="0">
      <alignment vertical="center"/>
    </xf>
    <xf numFmtId="303" fontId="82" fillId="21" borderId="22" xfId="0" applyNumberFormat="0" applyBorder="0" applyAlignment="0" applyProtection="0">
      <alignment vertical="center"/>
    </xf>
    <xf numFmtId="303" fontId="83" fillId="22" borderId="22" xfId="0" applyNumberFormat="0" applyBorder="0" applyAlignment="0" applyProtection="0">
      <alignment vertical="center"/>
    </xf>
    <xf numFmtId="303" fontId="84" fillId="23" borderId="22" xfId="0" applyNumberFormat="0" applyBorder="0" applyAlignment="0" applyProtection="0">
      <alignment vertical="center"/>
    </xf>
    <xf numFmtId="303" fontId="77" fillId="24" borderId="22" xfId="0" applyNumberFormat="0" applyBorder="0" applyAlignment="0" applyProtection="0">
      <alignment vertical="center"/>
    </xf>
    <xf numFmtId="303" fontId="80" fillId="25" borderId="22" xfId="0" applyNumberFormat="0" applyBorder="0" applyAlignment="0" applyProtection="0">
      <alignment vertical="center"/>
    </xf>
    <xf numFmtId="303" fontId="80" fillId="26" borderId="22" xfId="0" applyNumberFormat="0" applyBorder="0" applyAlignment="0" applyProtection="0">
      <alignment vertical="center"/>
    </xf>
    <xf numFmtId="303" fontId="77" fillId="27" borderId="22" xfId="0" applyNumberFormat="0" applyBorder="0" applyAlignment="0" applyProtection="0">
      <alignment vertical="center"/>
    </xf>
    <xf numFmtId="303" fontId="80" fillId="28" borderId="22" xfId="0" applyNumberFormat="0" applyBorder="0" applyAlignment="0" applyProtection="0">
      <alignment vertical="center"/>
    </xf>
    <xf numFmtId="303" fontId="80" fillId="29" borderId="22" xfId="0" applyNumberFormat="0" applyBorder="0" applyAlignment="0" applyProtection="0">
      <alignment vertical="center"/>
    </xf>
    <xf numFmtId="303" fontId="85" fillId="14" borderId="22" xfId="0" applyNumberFormat="0" applyFill="0" applyBorder="0" applyAlignment="0" applyProtection="0">
      <alignment vertical="center"/>
    </xf>
    <xf numFmtId="303" fontId="86" fillId="14" borderId="28" xfId="0" applyNumberFormat="0" applyFill="0" applyAlignment="0" applyProtection="0">
      <alignment vertical="center"/>
    </xf>
    <xf numFmtId="303" fontId="77" fillId="30" borderId="22" xfId="0" applyNumberFormat="0" applyBorder="0" applyAlignment="0" applyProtection="0">
      <alignment vertical="center"/>
    </xf>
    <xf numFmtId="303" fontId="80" fillId="31" borderId="22" xfId="0" applyNumberFormat="0" applyBorder="0" applyAlignment="0" applyProtection="0">
      <alignment vertical="center"/>
    </xf>
    <xf numFmtId="303" fontId="80" fillId="32" borderId="22" xfId="0" applyNumberFormat="0" applyBorder="0" applyAlignment="0" applyProtection="0">
      <alignment vertical="center"/>
    </xf>
    <xf numFmtId="303" fontId="77" fillId="33" borderId="22" xfId="0" applyNumberFormat="0" applyBorder="0" applyAlignment="0" applyProtection="0">
      <alignment vertical="center"/>
    </xf>
    <xf numFmtId="303" fontId="77" fillId="34" borderId="22" xfId="0" applyNumberFormat="0" applyBorder="0" applyAlignment="0" applyProtection="0">
      <alignment vertical="center"/>
    </xf>
    <xf numFmtId="305" fontId="70" fillId="14" borderId="22" xfId="0" applyFont="0" applyFill="0" applyBorder="0" applyAlignment="0" applyProtection="0">
      <alignment vertical="center"/>
    </xf>
    <xf numFmtId="303" fontId="80" fillId="35" borderId="22" xfId="0" applyNumberFormat="0" applyBorder="0" applyAlignment="0" applyProtection="0">
      <alignment vertical="center"/>
    </xf>
    <xf numFmtId="306" fontId="70" fillId="14" borderId="22" xfId="0" applyFont="0" applyFill="0" applyBorder="0" applyAlignment="0" applyProtection="0">
      <alignment vertical="center"/>
    </xf>
    <xf numFmtId="303" fontId="80" fillId="36" borderId="22" xfId="0" applyNumberFormat="0" applyBorder="0" applyAlignment="0" applyProtection="0">
      <alignment vertical="center"/>
    </xf>
    <xf numFmtId="307" fontId="70" fillId="14" borderId="22" xfId="0" applyFont="0" applyFill="0" applyBorder="0" applyAlignment="0" applyProtection="0">
      <alignment vertical="center"/>
    </xf>
    <xf numFmtId="303" fontId="77" fillId="37" borderId="22" xfId="0" applyNumberFormat="0" applyBorder="0" applyAlignment="0" applyProtection="0">
      <alignment vertical="center"/>
    </xf>
    <xf numFmtId="308" fontId="70" fillId="14" borderId="22" xfId="0" applyFont="0" applyFill="0" applyBorder="0" applyAlignment="0" applyProtection="0">
      <alignment vertical="center"/>
    </xf>
    <xf numFmtId="303" fontId="77" fillId="38" borderId="22" xfId="0" applyNumberFormat="0" applyBorder="0" applyAlignment="0" applyProtection="0">
      <alignment vertical="center"/>
    </xf>
    <xf numFmtId="303" fontId="87" fillId="14" borderId="22" xfId="0" applyNumberFormat="0" applyFill="0" applyBorder="0" applyAlignment="0" applyProtection="0">
      <alignment vertical="center"/>
    </xf>
    <xf numFmtId="303" fontId="80" fillId="39" borderId="22" xfId="0" applyNumberFormat="0" applyBorder="0" applyAlignment="0" applyProtection="0">
      <alignment vertical="center"/>
    </xf>
    <xf numFmtId="303" fontId="88" fillId="14" borderId="22" xfId="0" applyNumberFormat="0" applyFill="0" applyBorder="0" applyAlignment="0" applyProtection="0">
      <alignment vertical="center"/>
    </xf>
    <xf numFmtId="303" fontId="80" fillId="40" borderId="22" xfId="0" applyNumberFormat="0" applyBorder="0" applyAlignment="0" applyProtection="0">
      <alignment vertical="center"/>
    </xf>
    <xf numFmtId="303" fontId="79" fillId="14" borderId="30" xfId="0" applyNumberFormat="0" applyFill="0" applyAlignment="0" applyProtection="0">
      <alignment vertical="center"/>
    </xf>
    <xf numFmtId="303" fontId="77" fillId="41" borderId="22" xfId="0" applyNumberFormat="0" applyBorder="0" applyAlignment="0" applyProtection="0">
      <alignment vertical="center"/>
    </xf>
    <xf numFmtId="303" fontId="89" fillId="14" borderId="22" xfId="0" applyNumberFormat="0" applyFill="0" applyBorder="0" applyAlignment="0" applyProtection="0">
      <alignment vertical="center"/>
    </xf>
    <xf numFmtId="303" fontId="80" fillId="42" borderId="22" xfId="0" applyNumberFormat="0" applyBorder="0" applyAlignment="0" applyProtection="0">
      <alignment vertical="center"/>
    </xf>
    <xf numFmtId="303" fontId="77" fillId="43" borderId="22" xfId="0" applyNumberFormat="0" applyBorder="0" applyAlignment="0" applyProtection="0">
      <alignment vertical="center"/>
    </xf>
    <xf numFmtId="303" fontId="77" fillId="44" borderId="22" xfId="0" applyNumberFormat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3" fontId="3" fillId="0" borderId="22" xfId="0" applyFont="1" applyAlignment="1">
      <alignment horizontal="center" vertical="center"/>
    </xf>
    <xf numFmtId="303" fontId="4" fillId="0" borderId="22" xfId="0" applyFont="1" applyAlignment="1">
      <alignment horizontal="center" vertical="center"/>
    </xf>
    <xf numFmtId="303" fontId="4" fillId="0" borderId="22" xfId="0" applyFont="1" applyAlignment="1">
      <alignment horizontal="center" vertical="center" wrapText="1"/>
    </xf>
    <xf numFmtId="303" fontId="5" fillId="2" borderId="1" xfId="0" applyFont="1" applyFill="1" applyBorder="1" applyAlignment="1">
      <alignment horizontal="center" vertical="center" wrapText="1"/>
    </xf>
    <xf numFmtId="303" fontId="6" fillId="2" borderId="1" xfId="0" applyFont="1" applyFill="1" applyBorder="1" applyAlignment="1">
      <alignment horizontal="center" vertical="center"/>
    </xf>
    <xf numFmtId="303" fontId="6" fillId="2" borderId="1" xfId="0" applyFont="1" applyFill="1" applyBorder="1" applyAlignment="1">
      <alignment horizontal="center" vertical="center" wrapText="1"/>
    </xf>
    <xf numFmtId="303" fontId="7" fillId="2" borderId="1" xfId="0" applyFont="1" applyFill="1" applyBorder="1" applyAlignment="1">
      <alignment horizontal="center" vertical="center" wrapText="1"/>
    </xf>
    <xf numFmtId="303" fontId="8" fillId="2" borderId="1" xfId="0" applyFont="1" applyFill="1" applyBorder="1" applyAlignment="1">
      <alignment horizontal="center" vertical="center" wrapText="1"/>
    </xf>
    <xf numFmtId="303" fontId="9" fillId="3" borderId="2" xfId="0" applyFont="1" applyFill="1" applyBorder="1" applyAlignment="1">
      <alignment horizontal="center" vertical="center" wrapText="1"/>
    </xf>
    <xf numFmtId="303" fontId="10" fillId="2" borderId="1" xfId="0" applyFont="1" applyFill="1" applyBorder="1" applyAlignment="1">
      <alignment horizontal="center" vertical="center" wrapText="1"/>
    </xf>
    <xf numFmtId="303" fontId="7" fillId="0" borderId="3" xfId="0" applyFont="1" applyBorder="1" applyAlignment="1">
      <alignment horizontal="center" vertical="center"/>
    </xf>
    <xf numFmtId="303" fontId="11" fillId="4" borderId="4" xfId="0" applyFont="1" applyFill="1" applyBorder="1" applyAlignment="1">
      <alignment horizontal="left" vertical="center" wrapText="1"/>
    </xf>
    <xf numFmtId="303" fontId="11" fillId="4" borderId="4" xfId="0" applyFont="1" applyFill="1" applyBorder="1">
      <alignment vertical="center"/>
    </xf>
    <xf numFmtId="303" fontId="11" fillId="4" borderId="4" xfId="0" applyFont="1" applyFill="1" applyBorder="1" applyAlignment="1">
      <alignment horizontal="center" vertical="center" wrapText="1"/>
    </xf>
    <xf numFmtId="303" fontId="12" fillId="4" borderId="4" xfId="0" applyFont="1" applyFill="1" applyBorder="1" applyAlignment="1">
      <alignment horizontal="left" vertical="center" wrapText="1"/>
    </xf>
    <xf numFmtId="303" fontId="13" fillId="4" borderId="4" xfId="0" applyFont="1" applyFill="1" applyBorder="1" applyAlignment="1">
      <alignment horizontal="center" vertical="center"/>
    </xf>
    <xf numFmtId="303" fontId="14" fillId="4" borderId="2" xfId="0" applyFont="1" applyFill="1" applyBorder="1" applyAlignment="1">
      <alignment horizontal="center" vertical="center" wrapText="1"/>
    </xf>
    <xf numFmtId="303" fontId="15" fillId="5" borderId="4" xfId="0" applyFont="1" applyFill="1" applyBorder="1" applyAlignment="1">
      <alignment horizontal="center" vertical="center"/>
    </xf>
    <xf numFmtId="303" fontId="16" fillId="0" borderId="1" xfId="0" applyFont="1" applyBorder="1" applyAlignment="1">
      <alignment horizontal="center" vertical="center" wrapText="1"/>
    </xf>
    <xf numFmtId="303" fontId="16" fillId="0" borderId="1" xfId="0" applyFont="1" applyBorder="1" applyAlignment="1">
      <alignment horizontal="center" vertical="center"/>
    </xf>
    <xf numFmtId="303" fontId="16" fillId="0" borderId="3" xfId="0" applyFont="1" applyBorder="1" applyAlignment="1">
      <alignment horizontal="center" vertical="center"/>
    </xf>
    <xf numFmtId="303" fontId="17" fillId="6" borderId="5" xfId="0" applyFont="1" applyFill="1" applyBorder="1" applyAlignment="1">
      <alignment horizontal="left" vertical="center" wrapText="1"/>
    </xf>
    <xf numFmtId="303" fontId="16" fillId="0" borderId="3" xfId="0" applyFont="1" applyBorder="1" applyAlignment="1">
      <alignment horizontal="center" vertical="center" wrapText="1"/>
    </xf>
    <xf numFmtId="303" fontId="7" fillId="0" borderId="6" xfId="0" applyFont="1" applyBorder="1" applyAlignment="1">
      <alignment horizontal="center" vertical="center"/>
    </xf>
    <xf numFmtId="303" fontId="11" fillId="0" borderId="4" xfId="0" applyFont="1" applyBorder="1" applyAlignment="1">
      <alignment horizontal="left" vertical="center" wrapText="1"/>
    </xf>
    <xf numFmtId="303" fontId="11" fillId="0" borderId="4" xfId="0" applyFont="1" applyBorder="1">
      <alignment vertical="center"/>
    </xf>
    <xf numFmtId="303" fontId="11" fillId="0" borderId="4" xfId="0" applyFont="1" applyBorder="1" applyAlignment="1">
      <alignment horizontal="center" vertical="center" wrapText="1"/>
    </xf>
    <xf numFmtId="303" fontId="12" fillId="0" borderId="4" xfId="0" applyFont="1" applyBorder="1" applyAlignment="1">
      <alignment horizontal="left" vertical="center" wrapText="1"/>
    </xf>
    <xf numFmtId="303" fontId="13" fillId="0" borderId="4" xfId="0" applyFont="1" applyBorder="1" applyAlignment="1">
      <alignment horizontal="center" vertical="center"/>
    </xf>
    <xf numFmtId="303" fontId="14" fillId="5" borderId="2" xfId="0" applyFont="1" applyFill="1" applyBorder="1" applyAlignment="1">
      <alignment horizontal="center" vertical="center" wrapText="1"/>
    </xf>
    <xf numFmtId="303" fontId="15" fillId="5" borderId="7" xfId="0" applyFont="1" applyFill="1" applyBorder="1" applyAlignment="1">
      <alignment horizontal="center" vertical="center"/>
    </xf>
    <xf numFmtId="303" fontId="16" fillId="0" borderId="6" xfId="0" applyFont="1" applyBorder="1" applyAlignment="1">
      <alignment horizontal="center" vertical="center" wrapText="1"/>
    </xf>
    <xf numFmtId="303" fontId="18" fillId="7" borderId="2" xfId="0" applyFont="1" applyFill="1" applyBorder="1" applyAlignment="1">
      <alignment horizontal="center" vertical="center" wrapText="1"/>
    </xf>
    <xf numFmtId="303" fontId="19" fillId="0" borderId="1" xfId="0" applyFont="1" applyBorder="1" applyAlignment="1">
      <alignment horizontal="center" vertical="center"/>
    </xf>
    <xf numFmtId="303" fontId="20" fillId="0" borderId="1" xfId="0" applyFont="1" applyBorder="1" applyAlignment="1">
      <alignment horizontal="center" vertical="center" wrapText="1"/>
    </xf>
    <xf numFmtId="303" fontId="21" fillId="0" borderId="1" xfId="0" applyFont="1" applyBorder="1" applyAlignment="1">
      <alignment horizontal="center" vertical="center"/>
    </xf>
    <xf numFmtId="303" fontId="7" fillId="0" borderId="8" xfId="0" applyFont="1" applyBorder="1" applyAlignment="1">
      <alignment horizontal="center" vertical="center"/>
    </xf>
    <xf numFmtId="303" fontId="14" fillId="0" borderId="2" xfId="0" applyFont="1" applyBorder="1" applyAlignment="1">
      <alignment horizontal="center" vertical="center" wrapText="1"/>
    </xf>
    <xf numFmtId="303" fontId="14" fillId="0" borderId="2" xfId="0" applyFont="1" applyBorder="1" applyAlignment="1">
      <alignment horizontal="center" vertical="center"/>
    </xf>
    <xf numFmtId="303" fontId="22" fillId="0" borderId="2" xfId="0" applyFont="1" applyBorder="1" applyAlignment="1">
      <alignment horizontal="center" vertical="center" wrapText="1"/>
    </xf>
    <xf numFmtId="303" fontId="23" fillId="0" borderId="2" xfId="0" applyFont="1" applyBorder="1" applyAlignment="1">
      <alignment horizontal="center" vertical="center"/>
    </xf>
    <xf numFmtId="303" fontId="18" fillId="0" borderId="2" xfId="0" applyFont="1" applyBorder="1" applyAlignment="1">
      <alignment horizontal="center" vertical="center" wrapText="1"/>
    </xf>
    <xf numFmtId="303" fontId="19" fillId="5" borderId="4" xfId="0" applyFont="1" applyFill="1" applyBorder="1" applyAlignment="1">
      <alignment horizontal="center" vertical="center"/>
    </xf>
    <xf numFmtId="303" fontId="13" fillId="0" borderId="1" xfId="0" applyFont="1" applyBorder="1" applyAlignment="1">
      <alignment horizontal="center" vertical="center" wrapText="1"/>
    </xf>
    <xf numFmtId="303" fontId="24" fillId="0" borderId="1" xfId="0" applyFont="1" applyBorder="1" applyAlignment="1">
      <alignment horizontal="center" vertical="center" wrapText="1"/>
    </xf>
    <xf numFmtId="303" fontId="16" fillId="0" borderId="8" xfId="0" applyFont="1" applyBorder="1" applyAlignment="1">
      <alignment horizontal="center" vertical="center" wrapText="1"/>
    </xf>
    <xf numFmtId="303" fontId="14" fillId="0" borderId="4" xfId="0" applyFont="1" applyBorder="1" applyAlignment="1">
      <alignment horizontal="center" vertical="center" wrapText="1"/>
    </xf>
    <xf numFmtId="303" fontId="14" fillId="0" borderId="4" xfId="0" applyFont="1" applyBorder="1" applyAlignment="1">
      <alignment horizontal="center" vertical="center"/>
    </xf>
    <xf numFmtId="303" fontId="22" fillId="0" borderId="4" xfId="0" applyFont="1" applyBorder="1" applyAlignment="1">
      <alignment horizontal="center" vertical="center" wrapText="1"/>
    </xf>
    <xf numFmtId="303" fontId="23" fillId="0" borderId="4" xfId="0" applyFont="1" applyBorder="1" applyAlignment="1">
      <alignment horizontal="center" vertical="center" wrapText="1"/>
    </xf>
    <xf numFmtId="303" fontId="18" fillId="0" borderId="4" xfId="0" applyFont="1" applyBorder="1" applyAlignment="1">
      <alignment horizontal="center" vertical="center" wrapText="1"/>
    </xf>
    <xf numFmtId="303" fontId="25" fillId="0" borderId="1" xfId="0" applyFont="1" applyBorder="1" applyAlignment="1">
      <alignment horizontal="center" vertical="center" wrapText="1"/>
    </xf>
    <xf numFmtId="303" fontId="26" fillId="0" borderId="1" xfId="0" applyFont="1" applyBorder="1" applyAlignment="1">
      <alignment horizontal="center" vertical="center" wrapText="1"/>
    </xf>
    <xf numFmtId="303" fontId="70" fillId="0" borderId="22" xfId="0">
      <alignment vertical="center"/>
    </xf>
    <xf numFmtId="303" fontId="7" fillId="0" borderId="1" xfId="0" applyFont="1" applyBorder="1" applyAlignment="1">
      <alignment horizontal="center" vertical="center"/>
    </xf>
    <xf numFmtId="303" fontId="23" fillId="0" borderId="2" xfId="0" applyFont="1" applyBorder="1" applyAlignment="1">
      <alignment horizontal="center" vertical="center" wrapText="1"/>
    </xf>
    <xf numFmtId="303" fontId="25" fillId="8" borderId="1" xfId="0" applyFont="1" applyFill="1" applyBorder="1" applyAlignment="1">
      <alignment horizontal="center" vertical="center" wrapText="1"/>
    </xf>
    <xf numFmtId="303" fontId="7" fillId="0" borderId="1" xfId="0" applyFont="1" applyBorder="1">
      <alignment vertical="center"/>
    </xf>
    <xf numFmtId="303" fontId="23" fillId="5" borderId="4" xfId="0" applyFont="1" applyFill="1" applyBorder="1" applyAlignment="1">
      <alignment horizontal="center" vertical="center"/>
    </xf>
    <xf numFmtId="303" fontId="25" fillId="9" borderId="1" xfId="0" applyFont="1" applyFill="1" applyBorder="1" applyAlignment="1">
      <alignment horizontal="center" vertical="center" wrapText="1"/>
    </xf>
    <xf numFmtId="303" fontId="21" fillId="0" borderId="1" xfId="0" applyFont="1" applyBorder="1" applyAlignment="1">
      <alignment horizontal="center" vertical="center" wrapText="1"/>
    </xf>
    <xf numFmtId="303" fontId="22" fillId="0" borderId="2" xfId="0" applyFont="1" applyBorder="1" applyAlignment="1">
      <alignment horizontal="left" vertical="center" wrapText="1"/>
    </xf>
    <xf numFmtId="303" fontId="27" fillId="7" borderId="2" xfId="0" applyFont="1" applyFill="1" applyBorder="1" applyAlignment="1">
      <alignment horizontal="center" vertical="center" wrapText="1"/>
    </xf>
    <xf numFmtId="303" fontId="23" fillId="5" borderId="4" xfId="0" applyFont="1" applyFill="1" applyBorder="1" applyAlignment="1">
      <alignment horizontal="center" vertical="center" wrapText="1"/>
    </xf>
    <xf numFmtId="303" fontId="7" fillId="0" borderId="1" xfId="0" applyFont="1" applyBorder="1" applyAlignment="1">
      <alignment horizontal="center" vertical="center" wrapText="1"/>
    </xf>
    <xf numFmtId="303" fontId="7" fillId="9" borderId="1" xfId="0" applyFont="1" applyFill="1" applyBorder="1" applyAlignment="1">
      <alignment horizontal="center" vertical="center" wrapText="1"/>
    </xf>
    <xf numFmtId="303" fontId="21" fillId="0" borderId="1" xfId="0" applyFont="1" applyBorder="1" applyAlignment="1">
      <alignment horizontal="left" vertical="center" wrapText="1"/>
    </xf>
    <xf numFmtId="303" fontId="28" fillId="0" borderId="1" xfId="0" applyFont="1" applyBorder="1" applyAlignment="1">
      <alignment horizontal="left" vertical="center" wrapText="1"/>
    </xf>
    <xf numFmtId="303" fontId="70" fillId="0" borderId="22" xfId="0" applyAlignment="1">
      <alignment horizontal="center" vertical="center" wrapText="1"/>
    </xf>
    <xf numFmtId="303" fontId="29" fillId="0" borderId="22" xfId="0" applyFont="1" applyAlignment="1">
      <alignment horizontal="center" vertical="center"/>
    </xf>
    <xf numFmtId="303" fontId="30" fillId="0" borderId="22" xfId="0" applyFont="1" applyAlignment="1">
      <alignment horizontal="center" vertical="center"/>
    </xf>
    <xf numFmtId="303" fontId="30" fillId="0" borderId="22" xfId="0" applyFont="1" applyAlignment="1">
      <alignment horizontal="center" vertical="center" wrapText="1"/>
    </xf>
    <xf numFmtId="303" fontId="31" fillId="0" borderId="22" xfId="0" applyFont="1">
      <alignment vertical="center"/>
    </xf>
    <xf numFmtId="303" fontId="19" fillId="0" borderId="22" xfId="0" applyFont="1">
      <alignment vertical="center"/>
    </xf>
    <xf numFmtId="303" fontId="32" fillId="0" borderId="3" xfId="0" applyFont="1" applyBorder="1" applyAlignment="1">
      <alignment horizontal="center" vertical="center" wrapText="1"/>
    </xf>
    <xf numFmtId="303" fontId="14" fillId="5" borderId="4" xfId="0" applyFont="1" applyFill="1" applyBorder="1" applyAlignment="1">
      <alignment horizontal="left" vertical="center" wrapText="1"/>
    </xf>
    <xf numFmtId="303" fontId="14" fillId="5" borderId="4" xfId="0" applyFont="1" applyFill="1" applyBorder="1" applyAlignment="1">
      <alignment horizontal="center" vertical="center" wrapText="1"/>
    </xf>
    <xf numFmtId="303" fontId="22" fillId="5" borderId="4" xfId="0" applyFont="1" applyFill="1" applyBorder="1" applyAlignment="1">
      <alignment horizontal="left" vertical="center" wrapText="1"/>
    </xf>
    <xf numFmtId="303" fontId="33" fillId="5" borderId="9" xfId="0" applyFont="1" applyFill="1" applyBorder="1" applyAlignment="1">
      <alignment horizontal="center" vertical="center"/>
    </xf>
    <xf numFmtId="303" fontId="18" fillId="5" borderId="4" xfId="0" applyFont="1" applyFill="1" applyBorder="1" applyAlignment="1">
      <alignment horizontal="center" vertical="center" wrapText="1"/>
    </xf>
    <xf numFmtId="303" fontId="27" fillId="5" borderId="4" xfId="0" applyFont="1" applyFill="1" applyBorder="1" applyAlignment="1">
      <alignment horizontal="center" vertical="center" wrapText="1"/>
    </xf>
    <xf numFmtId="303" fontId="34" fillId="5" borderId="4" xfId="0" applyFont="1" applyFill="1" applyBorder="1" applyAlignment="1">
      <alignment horizontal="right" vertical="center"/>
    </xf>
    <xf numFmtId="303" fontId="5" fillId="0" borderId="1" xfId="0" applyFont="1" applyBorder="1" applyAlignment="1">
      <alignment horizontal="center" vertical="center" wrapText="1"/>
    </xf>
    <xf numFmtId="303" fontId="10" fillId="0" borderId="1" xfId="0" applyFont="1" applyBorder="1" applyAlignment="1">
      <alignment horizontal="center" vertical="center" wrapText="1"/>
    </xf>
    <xf numFmtId="303" fontId="32" fillId="0" borderId="8" xfId="0" applyFont="1" applyBorder="1" applyAlignment="1">
      <alignment horizontal="center" vertical="center" wrapText="1"/>
    </xf>
    <xf numFmtId="303" fontId="35" fillId="0" borderId="1" xfId="0" applyFont="1" applyBorder="1" applyAlignment="1">
      <alignment horizontal="center" vertical="center" wrapText="1"/>
    </xf>
    <xf numFmtId="303" fontId="24" fillId="0" borderId="22" xfId="0" applyFont="1">
      <alignment vertical="center"/>
    </xf>
    <xf numFmtId="303" fontId="23" fillId="0" borderId="1" xfId="0" applyFont="1" applyBorder="1" applyAlignment="1">
      <alignment horizontal="center" vertical="center" wrapText="1"/>
    </xf>
    <xf numFmtId="303" fontId="22" fillId="5" borderId="4" xfId="0" applyFont="1" applyFill="1" applyBorder="1" applyAlignment="1">
      <alignment horizontal="center" vertical="center" wrapText="1"/>
    </xf>
    <xf numFmtId="303" fontId="36" fillId="0" borderId="1" xfId="0" applyFont="1" applyBorder="1" applyAlignment="1">
      <alignment horizontal="center" vertical="center"/>
    </xf>
    <xf numFmtId="303" fontId="37" fillId="0" borderId="1" xfId="0" applyFont="1" applyBorder="1" applyAlignment="1">
      <alignment horizontal="center" vertical="center" wrapText="1"/>
    </xf>
    <xf numFmtId="303" fontId="32" fillId="0" borderId="6" xfId="0" applyFont="1" applyBorder="1" applyAlignment="1">
      <alignment horizontal="center" vertical="center" wrapText="1"/>
    </xf>
    <xf numFmtId="303" fontId="33" fillId="0" borderId="9" xfId="0" applyFont="1" applyBorder="1" applyAlignment="1">
      <alignment horizontal="center" vertical="center"/>
    </xf>
    <xf numFmtId="303" fontId="38" fillId="0" borderId="1" xfId="0" applyFont="1" applyBorder="1" applyAlignment="1">
      <alignment horizontal="center" vertical="center" wrapText="1"/>
    </xf>
    <xf numFmtId="303" fontId="16" fillId="0" borderId="22" xfId="0" applyFont="1" applyAlignment="1">
      <alignment horizontal="center" vertical="center"/>
    </xf>
    <xf numFmtId="303" fontId="70" fillId="0" borderId="22" xfId="0" applyAlignment="1">
      <alignment horizontal="center" vertical="center"/>
    </xf>
    <xf numFmtId="303" fontId="70" fillId="0" borderId="22" xfId="0" applyAlignment="1">
      <alignment horizontal="right" vertical="center" wrapText="1"/>
    </xf>
    <xf numFmtId="303" fontId="7" fillId="10" borderId="1" xfId="0" applyFont="1" applyFill="1" applyBorder="1" applyAlignment="1">
      <alignment horizontal="center" vertical="center"/>
    </xf>
    <xf numFmtId="303" fontId="39" fillId="10" borderId="9" xfId="0" applyFont="1" applyFill="1" applyBorder="1" applyAlignment="1">
      <alignment horizontal="center" vertical="center"/>
    </xf>
    <xf numFmtId="303" fontId="6" fillId="10" borderId="4" xfId="0" applyFont="1" applyFill="1" applyBorder="1" applyAlignment="1">
      <alignment horizontal="center" vertical="center" wrapText="1"/>
    </xf>
    <xf numFmtId="300" fontId="6" fillId="10" borderId="4" xfId="0" applyNumberFormat="1" applyFont="1" applyFill="1" applyBorder="1" applyAlignment="1">
      <alignment horizontal="center" vertical="center" wrapText="1"/>
    </xf>
    <xf numFmtId="303" fontId="40" fillId="0" borderId="1" xfId="0" applyFont="1" applyBorder="1" applyAlignment="1">
      <alignment horizontal="left" vertical="center"/>
    </xf>
    <xf numFmtId="303" fontId="70" fillId="0" borderId="1" xfId="0" applyBorder="1">
      <alignment vertical="center"/>
    </xf>
    <xf numFmtId="303" fontId="41" fillId="0" borderId="4" xfId="0" applyFont="1" applyBorder="1" applyAlignment="1">
      <alignment horizontal="left" vertical="center" wrapText="1"/>
    </xf>
    <xf numFmtId="303" fontId="41" fillId="0" borderId="4" xfId="0" applyFont="1" applyBorder="1" applyAlignment="1">
      <alignment horizontal="center" vertical="center" wrapText="1"/>
    </xf>
    <xf numFmtId="303" fontId="42" fillId="0" borderId="4" xfId="0" applyFont="1" applyBorder="1" applyAlignment="1">
      <alignment horizontal="left" vertical="center" wrapText="1"/>
    </xf>
    <xf numFmtId="303" fontId="43" fillId="5" borderId="4" xfId="0" applyFont="1" applyFill="1" applyBorder="1" applyAlignment="1">
      <alignment horizontal="center" vertical="center"/>
    </xf>
    <xf numFmtId="303" fontId="44" fillId="5" borderId="4" xfId="0" applyFont="1" applyFill="1" applyBorder="1">
      <alignment vertical="center"/>
    </xf>
    <xf numFmtId="301" fontId="43" fillId="5" borderId="4" xfId="0" applyNumberFormat="1" applyFont="1" applyFill="1" applyBorder="1">
      <alignment vertical="center"/>
    </xf>
    <xf numFmtId="301" fontId="43" fillId="5" borderId="4" xfId="0" applyNumberFormat="1" applyFont="1" applyFill="1" applyBorder="1" applyAlignment="1">
      <alignment horizontal="center" vertical="center"/>
    </xf>
    <xf numFmtId="303" fontId="40" fillId="0" borderId="3" xfId="0" applyFont="1" applyBorder="1">
      <alignment vertical="center"/>
    </xf>
    <xf numFmtId="303" fontId="70" fillId="0" borderId="3" xfId="0" applyBorder="1">
      <alignment vertical="center"/>
    </xf>
    <xf numFmtId="303" fontId="40" fillId="0" borderId="1" xfId="0" applyFont="1" applyBorder="1" applyAlignment="1">
      <alignment vertical="center" wrapText="1"/>
    </xf>
    <xf numFmtId="303" fontId="70" fillId="0" borderId="1" xfId="0" applyBorder="1" applyAlignment="1">
      <alignment horizontal="left" vertical="center"/>
    </xf>
    <xf numFmtId="303" fontId="70" fillId="0" borderId="1" xfId="0" applyBorder="1" applyAlignment="1">
      <alignment vertical="center" wrapText="1"/>
    </xf>
    <xf numFmtId="303" fontId="70" fillId="0" borderId="10" xfId="0" applyBorder="1">
      <alignment vertical="center"/>
    </xf>
    <xf numFmtId="303" fontId="7" fillId="10" borderId="22" xfId="0" applyFont="1" applyFill="1" applyAlignment="1">
      <alignment horizontal="center" vertical="center"/>
    </xf>
    <xf numFmtId="303" fontId="6" fillId="10" borderId="3" xfId="0" applyFont="1" applyFill="1" applyBorder="1" applyAlignment="1">
      <alignment horizontal="center" vertical="center" wrapText="1"/>
    </xf>
    <xf numFmtId="300" fontId="6" fillId="10" borderId="11" xfId="0" applyNumberFormat="1" applyFont="1" applyFill="1" applyBorder="1" applyAlignment="1">
      <alignment horizontal="center" vertical="center" wrapText="1"/>
    </xf>
    <xf numFmtId="300" fontId="6" fillId="10" borderId="12" xfId="0" applyNumberFormat="1" applyFont="1" applyFill="1" applyBorder="1" applyAlignment="1">
      <alignment vertical="center" wrapText="1"/>
    </xf>
    <xf numFmtId="303" fontId="6" fillId="10" borderId="1" xfId="0" applyFont="1" applyFill="1" applyBorder="1" applyAlignment="1">
      <alignment horizontal="center" vertical="center" wrapText="1"/>
    </xf>
    <xf numFmtId="300" fontId="6" fillId="10" borderId="1" xfId="0" applyNumberFormat="1" applyFont="1" applyFill="1" applyBorder="1" applyAlignment="1">
      <alignment horizontal="center" vertical="center" wrapText="1"/>
    </xf>
    <xf numFmtId="300" fontId="6" fillId="10" borderId="1" xfId="0" applyNumberFormat="1" applyFont="1" applyFill="1" applyBorder="1" applyAlignment="1">
      <alignment vertical="center" wrapText="1"/>
    </xf>
    <xf numFmtId="303" fontId="7" fillId="10" borderId="13" xfId="0" applyFont="1" applyFill="1" applyBorder="1" applyAlignment="1">
      <alignment horizontal="center" vertical="center"/>
    </xf>
    <xf numFmtId="303" fontId="6" fillId="10" borderId="8" xfId="0" applyFont="1" applyFill="1" applyBorder="1" applyAlignment="1">
      <alignment horizontal="center" vertical="center" wrapText="1"/>
    </xf>
    <xf numFmtId="303" fontId="45" fillId="0" borderId="14" xfId="0" applyFont="1" applyBorder="1" applyAlignment="1">
      <alignment horizontal="center" vertical="center" wrapText="1"/>
    </xf>
    <xf numFmtId="303" fontId="70" fillId="0" borderId="15" xfId="0" applyBorder="1">
      <alignment vertical="center"/>
    </xf>
    <xf numFmtId="303" fontId="45" fillId="0" borderId="16" xfId="0" applyFont="1" applyBorder="1" applyAlignment="1">
      <alignment horizontal="center" vertical="center" wrapText="1"/>
    </xf>
    <xf numFmtId="303" fontId="45" fillId="0" borderId="17" xfId="0" applyFont="1" applyBorder="1" applyAlignment="1">
      <alignment horizontal="center" vertical="center" wrapText="1"/>
    </xf>
    <xf numFmtId="303" fontId="70" fillId="0" borderId="18" xfId="0" applyBorder="1">
      <alignment vertical="center"/>
    </xf>
    <xf numFmtId="303" fontId="45" fillId="0" borderId="19" xfId="0" applyFont="1" applyBorder="1" applyAlignment="1">
      <alignment horizontal="center" vertical="center" wrapText="1"/>
    </xf>
    <xf numFmtId="303" fontId="46" fillId="0" borderId="1" xfId="0" applyFont="1" applyBorder="1" applyAlignment="1">
      <alignment horizontal="center" vertical="center"/>
    </xf>
    <xf numFmtId="303" fontId="47" fillId="0" borderId="1" xfId="0" applyFont="1" applyBorder="1" applyAlignment="1">
      <alignment horizontal="center" vertical="center"/>
    </xf>
    <xf numFmtId="303" fontId="47" fillId="0" borderId="1" xfId="0" applyFont="1" applyBorder="1" applyAlignment="1">
      <alignment horizontal="center" vertical="center" wrapText="1"/>
    </xf>
    <xf numFmtId="303" fontId="48" fillId="2" borderId="1" xfId="0" applyFont="1" applyFill="1" applyBorder="1" applyAlignment="1">
      <alignment horizontal="center" vertical="center" wrapText="1"/>
    </xf>
    <xf numFmtId="303" fontId="9" fillId="2" borderId="1" xfId="0" applyFont="1" applyFill="1" applyBorder="1" applyAlignment="1">
      <alignment horizontal="center" vertical="center" wrapText="1"/>
    </xf>
    <xf numFmtId="303" fontId="49" fillId="11" borderId="1" xfId="0" applyFont="1" applyFill="1" applyBorder="1" applyAlignment="1">
      <alignment horizontal="center" vertical="center" wrapText="1"/>
    </xf>
    <xf numFmtId="303" fontId="9" fillId="11" borderId="1" xfId="0" applyFont="1" applyFill="1" applyBorder="1" applyAlignment="1">
      <alignment horizontal="center" vertical="center" wrapText="1"/>
    </xf>
    <xf numFmtId="303" fontId="9" fillId="2" borderId="1" xfId="0" applyFont="1" applyFill="1" applyBorder="1" applyAlignment="1">
      <alignment horizontal="center" vertical="center"/>
    </xf>
    <xf numFmtId="303" fontId="50" fillId="2" borderId="1" xfId="0" applyFont="1" applyFill="1" applyBorder="1" applyAlignment="1">
      <alignment horizontal="center" vertical="center" wrapText="1"/>
    </xf>
    <xf numFmtId="303" fontId="51" fillId="2" borderId="1" xfId="0" applyFont="1" applyFill="1" applyBorder="1" applyAlignment="1">
      <alignment horizontal="center" vertical="center" wrapText="1"/>
    </xf>
    <xf numFmtId="303" fontId="5" fillId="0" borderId="3" xfId="0" applyFont="1" applyBorder="1" applyAlignment="1">
      <alignment horizontal="center" vertical="center" wrapText="1"/>
    </xf>
    <xf numFmtId="303" fontId="52" fillId="4" borderId="4" xfId="0" applyFont="1" applyFill="1" applyBorder="1" applyAlignment="1">
      <alignment horizontal="left" vertical="center"/>
    </xf>
    <xf numFmtId="303" fontId="52" fillId="4" borderId="4" xfId="0" applyFont="1" applyFill="1" applyBorder="1">
      <alignment vertical="center"/>
    </xf>
    <xf numFmtId="303" fontId="52" fillId="4" borderId="4" xfId="0" applyFont="1" applyFill="1" applyBorder="1" applyAlignment="1">
      <alignment horizontal="center" vertical="center"/>
    </xf>
    <xf numFmtId="303" fontId="53" fillId="4" borderId="9" xfId="0" applyFont="1" applyFill="1" applyBorder="1" applyAlignment="1">
      <alignment horizontal="left" vertical="center" wrapText="1"/>
    </xf>
    <xf numFmtId="303" fontId="54" fillId="4" borderId="4" xfId="0" applyFont="1" applyFill="1" applyBorder="1" applyAlignment="1">
      <alignment horizontal="center" vertical="center"/>
    </xf>
    <xf numFmtId="303" fontId="55" fillId="4" borderId="4" xfId="0" applyFont="1" applyFill="1" applyBorder="1" applyAlignment="1">
      <alignment horizontal="center" vertical="center" wrapText="1"/>
    </xf>
    <xf numFmtId="300" fontId="23" fillId="0" borderId="4" xfId="0" applyNumberFormat="1" applyFont="1" applyBorder="1" applyAlignment="1">
      <alignment horizontal="center" vertical="center" wrapText="1"/>
    </xf>
    <xf numFmtId="303" fontId="56" fillId="0" borderId="1" xfId="0" applyFont="1" applyBorder="1" applyAlignment="1">
      <alignment horizontal="left" vertical="center" wrapText="1"/>
    </xf>
    <xf numFmtId="303" fontId="56" fillId="0" borderId="1" xfId="0" applyFont="1" applyBorder="1" applyAlignment="1">
      <alignment horizontal="center" vertical="center" wrapText="1"/>
    </xf>
    <xf numFmtId="303" fontId="5" fillId="0" borderId="8" xfId="0" applyFont="1" applyBorder="1" applyAlignment="1">
      <alignment horizontal="center" vertical="center" wrapText="1"/>
    </xf>
    <xf numFmtId="303" fontId="52" fillId="0" borderId="4" xfId="0" applyFont="1" applyBorder="1" applyAlignment="1">
      <alignment horizontal="left" vertical="center"/>
    </xf>
    <xf numFmtId="303" fontId="52" fillId="0" borderId="4" xfId="0" applyFont="1" applyBorder="1">
      <alignment vertical="center"/>
    </xf>
    <xf numFmtId="303" fontId="52" fillId="0" borderId="4" xfId="0" applyFont="1" applyBorder="1" applyAlignment="1">
      <alignment horizontal="center" vertical="center"/>
    </xf>
    <xf numFmtId="303" fontId="53" fillId="0" borderId="9" xfId="0" applyFont="1" applyBorder="1" applyAlignment="1">
      <alignment horizontal="left" vertical="center"/>
    </xf>
    <xf numFmtId="303" fontId="54" fillId="0" borderId="4" xfId="0" applyFont="1" applyBorder="1" applyAlignment="1">
      <alignment horizontal="center" vertical="center"/>
    </xf>
    <xf numFmtId="303" fontId="55" fillId="5" borderId="4" xfId="0" applyFont="1" applyFill="1" applyBorder="1" applyAlignment="1">
      <alignment horizontal="center" vertical="center" wrapText="1"/>
    </xf>
    <xf numFmtId="303" fontId="17" fillId="12" borderId="4" xfId="0" applyFont="1" applyFill="1" applyBorder="1" applyAlignment="1">
      <alignment horizontal="left" vertical="center" wrapText="1"/>
    </xf>
    <xf numFmtId="303" fontId="53" fillId="4" borderId="4" xfId="0" applyFont="1" applyFill="1" applyBorder="1" applyAlignment="1">
      <alignment horizontal="left" vertical="center" wrapText="1"/>
    </xf>
    <xf numFmtId="303" fontId="55" fillId="4" borderId="2" xfId="0" applyFont="1" applyFill="1" applyBorder="1" applyAlignment="1">
      <alignment horizontal="center" vertical="center" wrapText="1"/>
    </xf>
    <xf numFmtId="303" fontId="53" fillId="0" borderId="4" xfId="0" applyFont="1" applyBorder="1" applyAlignment="1">
      <alignment horizontal="left" vertical="center"/>
    </xf>
    <xf numFmtId="303" fontId="57" fillId="12" borderId="5" xfId="0" applyFont="1" applyFill="1" applyBorder="1" applyAlignment="1">
      <alignment horizontal="left" vertical="center" wrapText="1"/>
    </xf>
    <xf numFmtId="303" fontId="53" fillId="4" borderId="4" xfId="0" applyFont="1" applyFill="1" applyBorder="1" applyAlignment="1">
      <alignment horizontal="left" vertical="center"/>
    </xf>
    <xf numFmtId="303" fontId="54" fillId="4" borderId="9" xfId="0" applyFont="1" applyFill="1" applyBorder="1" applyAlignment="1">
      <alignment horizontal="center" vertical="center"/>
    </xf>
    <xf numFmtId="303" fontId="58" fillId="4" borderId="4" xfId="0" applyFont="1" applyFill="1" applyBorder="1" applyAlignment="1">
      <alignment horizontal="center" vertical="center" wrapText="1"/>
    </xf>
    <xf numFmtId="303" fontId="5" fillId="0" borderId="6" xfId="0" applyFont="1" applyBorder="1" applyAlignment="1">
      <alignment horizontal="center" vertical="center" wrapText="1"/>
    </xf>
    <xf numFmtId="303" fontId="58" fillId="5" borderId="4" xfId="0" applyFont="1" applyFill="1" applyBorder="1" applyAlignment="1">
      <alignment horizontal="center" vertical="center" wrapText="1"/>
    </xf>
    <xf numFmtId="300" fontId="23" fillId="0" borderId="2" xfId="0" applyNumberFormat="1" applyFont="1" applyBorder="1" applyAlignment="1">
      <alignment horizontal="center" vertical="center" wrapText="1"/>
    </xf>
    <xf numFmtId="300" fontId="15" fillId="0" borderId="4" xfId="0" applyNumberFormat="1" applyFont="1" applyBorder="1" applyAlignment="1">
      <alignment horizontal="center" vertical="center"/>
    </xf>
    <xf numFmtId="303" fontId="52" fillId="0" borderId="2" xfId="0" applyFont="1" applyBorder="1" applyAlignment="1">
      <alignment horizontal="left" vertical="center"/>
    </xf>
    <xf numFmtId="303" fontId="52" fillId="0" borderId="2" xfId="0" applyFont="1" applyBorder="1" applyAlignment="1">
      <alignment horizontal="center" vertical="center"/>
    </xf>
    <xf numFmtId="303" fontId="53" fillId="0" borderId="4" xfId="0" applyFont="1" applyBorder="1">
      <alignment vertical="center"/>
    </xf>
    <xf numFmtId="303" fontId="58" fillId="0" borderId="4" xfId="0" applyFont="1" applyBorder="1" applyAlignment="1">
      <alignment horizontal="center" vertical="center" wrapText="1"/>
    </xf>
    <xf numFmtId="303" fontId="53" fillId="0" borderId="4" xfId="0" applyFont="1" applyBorder="1" applyAlignment="1">
      <alignment horizontal="left" vertical="center" wrapText="1"/>
    </xf>
    <xf numFmtId="303" fontId="54" fillId="0" borderId="9" xfId="0" applyFont="1" applyBorder="1" applyAlignment="1">
      <alignment horizontal="center" vertical="center"/>
    </xf>
    <xf numFmtId="303" fontId="55" fillId="0" borderId="4" xfId="0" applyFont="1" applyBorder="1" applyAlignment="1">
      <alignment horizontal="center" vertical="center" wrapText="1"/>
    </xf>
    <xf numFmtId="300" fontId="15" fillId="5" borderId="1" xfId="0" applyNumberFormat="1" applyFont="1" applyFill="1" applyBorder="1" applyAlignment="1">
      <alignment horizontal="center" vertical="center"/>
    </xf>
    <xf numFmtId="300" fontId="15" fillId="0" borderId="20" xfId="0" applyNumberFormat="1" applyFont="1" applyBorder="1" applyAlignment="1">
      <alignment horizontal="center" vertical="center"/>
    </xf>
    <xf numFmtId="303" fontId="59" fillId="5" borderId="2" xfId="0" applyFont="1" applyFill="1" applyBorder="1" applyAlignment="1">
      <alignment horizontal="center" vertical="center" wrapText="1"/>
    </xf>
    <xf numFmtId="303" fontId="58" fillId="0" borderId="1" xfId="0" applyFont="1" applyBorder="1" applyAlignment="1">
      <alignment horizontal="left" vertical="center" wrapText="1"/>
    </xf>
    <xf numFmtId="303" fontId="58" fillId="0" borderId="1" xfId="0" applyFont="1" applyBorder="1">
      <alignment vertical="center"/>
    </xf>
    <xf numFmtId="303" fontId="58" fillId="0" borderId="1" xfId="0" applyFont="1" applyBorder="1" applyAlignment="1">
      <alignment horizontal="center" vertical="center" wrapText="1"/>
    </xf>
    <xf numFmtId="303" fontId="60" fillId="0" borderId="1" xfId="0" applyFont="1" applyBorder="1" applyAlignment="1">
      <alignment horizontal="left" vertical="center" wrapText="1"/>
    </xf>
    <xf numFmtId="303" fontId="61" fillId="0" borderId="1" xfId="0" applyFont="1" applyBorder="1" applyAlignment="1">
      <alignment horizontal="center" vertical="center"/>
    </xf>
    <xf numFmtId="303" fontId="16" fillId="0" borderId="22" xfId="0" applyFont="1" applyAlignment="1">
      <alignment horizontal="center" vertical="center" wrapText="1"/>
    </xf>
    <xf numFmtId="303" fontId="62" fillId="0" borderId="22" xfId="0" applyFont="1">
      <alignment vertical="center"/>
    </xf>
    <xf numFmtId="303" fontId="70" fillId="6" borderId="22" xfId="0" applyFill="1" applyAlignment="1">
      <alignment horizontal="center" vertical="center"/>
    </xf>
    <xf numFmtId="302" fontId="63" fillId="13" borderId="2" xfId="0" applyNumberFormat="1" applyFont="1" applyFill="1" applyBorder="1" applyAlignment="1">
      <alignment horizontal="center" vertical="center"/>
    </xf>
    <xf numFmtId="303" fontId="63" fillId="13" borderId="2" xfId="0" applyFont="1" applyFill="1" applyBorder="1" applyAlignment="1">
      <alignment horizontal="center" vertical="center" wrapText="1"/>
    </xf>
    <xf numFmtId="303" fontId="64" fillId="13" borderId="2" xfId="0" applyFont="1" applyFill="1" applyBorder="1" applyAlignment="1">
      <alignment horizontal="center" vertical="center" wrapText="1"/>
    </xf>
    <xf numFmtId="303" fontId="65" fillId="13" borderId="2" xfId="0" applyFont="1" applyFill="1" applyBorder="1" applyAlignment="1">
      <alignment horizontal="center" vertical="center" wrapText="1"/>
    </xf>
    <xf numFmtId="303" fontId="66" fillId="13" borderId="2" xfId="0" applyFont="1" applyFill="1" applyBorder="1" applyAlignment="1">
      <alignment horizontal="center" vertical="center" wrapText="1"/>
    </xf>
    <xf numFmtId="303" fontId="66" fillId="9" borderId="2" xfId="0" applyFont="1" applyFill="1" applyBorder="1" applyAlignment="1">
      <alignment horizontal="center" vertical="center" wrapText="1"/>
    </xf>
    <xf numFmtId="303" fontId="66" fillId="13" borderId="2" xfId="0" applyFont="1" applyFill="1" applyBorder="1" applyAlignment="1">
      <alignment horizontal="center" vertical="center"/>
    </xf>
    <xf numFmtId="303" fontId="66" fillId="13" borderId="21" xfId="0" applyFont="1" applyFill="1" applyBorder="1" applyAlignment="1">
      <alignment horizontal="center" vertical="center"/>
    </xf>
    <xf numFmtId="303" fontId="66" fillId="13" borderId="3" xfId="0" applyFont="1" applyFill="1" applyBorder="1" applyAlignment="1">
      <alignment horizontal="center" vertical="center"/>
    </xf>
    <xf numFmtId="303" fontId="66" fillId="13" borderId="3" xfId="0" applyFont="1" applyFill="1" applyBorder="1" applyAlignment="1">
      <alignment horizontal="center" vertical="center" wrapText="1"/>
    </xf>
    <xf numFmtId="14" fontId="67" fillId="0" borderId="1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303" fontId="68" fillId="0" borderId="4" xfId="0" applyFont="1" applyBorder="1" applyAlignment="1">
      <alignment horizontal="left" vertical="center" wrapText="1"/>
    </xf>
    <xf numFmtId="303" fontId="41" fillId="0" borderId="4" xfId="0" applyFont="1" applyBorder="1">
      <alignment vertical="center"/>
    </xf>
    <xf numFmtId="303" fontId="23" fillId="0" borderId="4" xfId="0" applyFont="1" applyBorder="1" applyAlignment="1">
      <alignment horizontal="center" vertical="center"/>
    </xf>
    <xf numFmtId="303" fontId="27" fillId="0" borderId="4" xfId="0" applyFont="1" applyBorder="1" applyAlignment="1">
      <alignment horizontal="center" vertical="center" wrapText="1"/>
    </xf>
    <xf numFmtId="303" fontId="34" fillId="0" borderId="4" xfId="0" applyFont="1" applyBorder="1" applyAlignment="1">
      <alignment horizontal="right" vertical="center"/>
    </xf>
    <xf numFmtId="303" fontId="34" fillId="0" borderId="1" xfId="0" applyFont="1" applyBorder="1" applyAlignment="1">
      <alignment horizontal="right" vertical="center"/>
    </xf>
    <xf numFmtId="303" fontId="34" fillId="0" borderId="1" xfId="0" applyFont="1" applyBorder="1" applyAlignment="1">
      <alignment horizontal="center" vertical="center"/>
    </xf>
    <xf numFmtId="303" fontId="23" fillId="0" borderId="1" xfId="0" applyFont="1" applyBorder="1" applyAlignment="1">
      <alignment horizontal="center" vertical="center"/>
    </xf>
    <xf numFmtId="14" fontId="67" fillId="0" borderId="3" xfId="0" applyNumberFormat="1" applyFont="1" applyBorder="1" applyAlignment="1">
      <alignment horizontal="center" vertical="center"/>
    </xf>
    <xf numFmtId="303" fontId="69" fillId="0" borderId="4" xfId="0" applyFont="1" applyBorder="1" applyAlignment="1">
      <alignment horizontal="center" vertical="center"/>
    </xf>
    <xf numFmtId="14" fontId="67" fillId="0" borderId="8" xfId="0" applyNumberFormat="1" applyFont="1" applyBorder="1" applyAlignment="1">
      <alignment horizontal="center" vertical="center"/>
    </xf>
    <xf numFmtId="303" fontId="42" fillId="0" borderId="4" xfId="0" applyFont="1" applyBorder="1" applyAlignment="1">
      <alignment horizontal="left" vertical="center"/>
    </xf>
    <xf numFmtId="303" fontId="33" fillId="0" borderId="4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303" fontId="68" fillId="0" borderId="2" xfId="0" applyFont="1" applyBorder="1" applyAlignment="1">
      <alignment horizontal="left" vertical="center" wrapText="1"/>
    </xf>
    <xf numFmtId="303" fontId="41" fillId="0" borderId="2" xfId="0" applyFont="1" applyBorder="1" applyAlignment="1">
      <alignment horizontal="left" vertical="center" wrapText="1"/>
    </xf>
    <xf numFmtId="303" fontId="41" fillId="0" borderId="2" xfId="0" applyFont="1" applyBorder="1">
      <alignment vertical="center"/>
    </xf>
    <xf numFmtId="303" fontId="41" fillId="0" borderId="2" xfId="0" applyFont="1" applyBorder="1" applyAlignment="1">
      <alignment horizontal="center" vertical="center" wrapText="1"/>
    </xf>
    <xf numFmtId="303" fontId="42" fillId="0" borderId="2" xfId="0" applyFont="1" applyBorder="1" applyAlignment="1">
      <alignment horizontal="left" vertical="center" wrapText="1"/>
    </xf>
    <xf numFmtId="303" fontId="27" fillId="0" borderId="2" xfId="0" applyFont="1" applyBorder="1" applyAlignment="1">
      <alignment horizontal="center" vertical="center" wrapText="1"/>
    </xf>
    <xf numFmtId="303" fontId="34" fillId="0" borderId="2" xfId="0" applyFont="1" applyBorder="1" applyAlignment="1">
      <alignment horizontal="right" vertical="center"/>
    </xf>
    <xf numFmtId="303" fontId="31" fillId="0" borderId="3" xfId="0" applyFont="1" applyBorder="1" applyAlignment="1">
      <alignment horizontal="center" vertical="center"/>
    </xf>
    <xf numFmtId="303" fontId="31" fillId="0" borderId="6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right" vertical="center"/>
    </xf>
    <xf numFmtId="303" fontId="41" fillId="0" borderId="2" xfId="0" applyFont="1" applyBorder="1" applyAlignment="1">
      <alignment horizontal="center" vertical="center"/>
    </xf>
    <xf numFmtId="303" fontId="31" fillId="0" borderId="8" xfId="0" applyFont="1" applyBorder="1" applyAlignment="1">
      <alignment horizontal="center" vertical="center"/>
    </xf>
    <xf numFmtId="303" fontId="68" fillId="0" borderId="4" xfId="0" applyFont="1" applyBorder="1" applyAlignment="1">
      <alignment horizontal="center" vertical="center" wrapText="1"/>
    </xf>
    <xf numFmtId="303" fontId="41" fillId="0" borderId="4" xfId="0" applyFont="1" applyBorder="1" applyAlignment="1">
      <alignment horizontal="center" vertical="center"/>
    </xf>
    <xf numFmtId="303" fontId="42" fillId="0" borderId="4" xfId="0" applyFont="1" applyBorder="1" applyAlignment="1">
      <alignment horizontal="center" vertical="center" wrapText="1"/>
    </xf>
    <xf numFmtId="303" fontId="34" fillId="0" borderId="4" xfId="0" applyFont="1" applyBorder="1" applyAlignment="1">
      <alignment horizontal="center" vertical="center"/>
    </xf>
    <xf numFmtId="303" fontId="68" fillId="0" borderId="2" xfId="0" applyFont="1" applyBorder="1" applyAlignment="1">
      <alignment horizontal="center" vertical="center" wrapText="1"/>
    </xf>
    <xf numFmtId="303" fontId="42" fillId="0" borderId="2" xfId="0" applyFont="1" applyBorder="1" applyAlignment="1">
      <alignment horizontal="center" vertical="center" wrapText="1"/>
    </xf>
    <xf numFmtId="303" fontId="34" fillId="0" borderId="2" xfId="0" applyFont="1" applyBorder="1" applyAlignment="1">
      <alignment horizontal="center" vertical="center"/>
    </xf>
    <xf numFmtId="303" fontId="41" fillId="0" borderId="4" xfId="0" applyFont="1" applyBorder="1" applyAlignment="1">
      <alignment horizontal="left" vertical="center"/>
    </xf>
    <xf numFmtId="303" fontId="70" fillId="14" borderId="22" xfId="0" applyNumberFormat="1" applyFill="1" applyBorder="1" applyAlignment="1">
      <alignment vertical="center"/>
    </xf>
    <xf numFmtId="303" fontId="16" fillId="14" borderId="22" xfId="0" applyNumberFormat="1" applyFont="1" applyFill="1" applyBorder="1" applyAlignment="1">
      <alignment horizontal="center" vertical="center"/>
    </xf>
    <xf numFmtId="303" fontId="70" fillId="14" borderId="22" xfId="0" applyNumberFormat="1" applyFill="1" applyBorder="1" applyAlignment="1">
      <alignment horizontal="center" vertical="center"/>
    </xf>
    <xf numFmtId="303" fontId="70" fillId="14" borderId="22" xfId="0" applyNumberFormat="1" applyFill="1" applyBorder="1" applyAlignment="1">
      <alignment horizontal="center" vertical="center" wrapText="1"/>
    </xf>
    <xf numFmtId="303" fontId="70" fillId="14" borderId="22" xfId="0" applyNumberFormat="1" applyFill="1" applyBorder="1" applyAlignment="1">
      <alignment horizontal="left" vertical="center" wrapText="1"/>
    </xf>
    <xf numFmtId="303" fontId="12" fillId="14" borderId="22" xfId="0" applyNumberFormat="1" applyFont="1" applyFill="1" applyBorder="1" applyAlignment="1">
      <alignment vertical="center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4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microsoft.com/office/2017/10/relationships/person" Target="persons/person.xml" /></Relationships>
</file>

<file path=xl/drawings/drawing1.xml><?xml version="1.0" encoding="utf-8"?>
<xdr:wsDr xmlns:a14="http://schemas.microsoft.com/office/drawing/2010/main" xmlns:xdr="http://schemas.openxmlformats.org/drawingml/2006/spreadsheetDrawing" xmlns:a="http://schemas.openxmlformats.org/drawingml/2006/main" xmlns:mc="http://schemas.openxmlformats.org/markup-compatibility/2006" mc:Ignorable="a14">
  <xdr:twoCellAnchor>
    <xdr:from>
      <xdr:col>13</xdr:col>
      <xdr:colOff>0</xdr:colOff>
      <xdr:row>17</xdr:row>
      <xdr:rowOff>257175</xdr:rowOff>
    </xdr:from>
    <xdr:to>
      <xdr:col>13</xdr:col>
      <xdr:colOff>466725</xdr:colOff>
      <xdr:row>18</xdr:row>
      <xdr:rowOff>219075</xdr:rowOff>
    </xdr:to>
    <xdr:sp>
      <xdr:nvSpPr>
        <xdr:cNvPr id="100001" name="Object 1" hidden="1">
          <a:extLst>
            <a:ext uri="{63B3BB69-23CF-44E3-9099-C40C66FF867C}">
              <a14:compatExt spid="_x0000_s100001"/>
            </a:ext>
          </a:extLst>
        </xdr:cNvPr>
        <xdr:cNvSpPr/>
      </xdr:nvSpPr>
      <xdr:spPr>
        <a:xfrm>
          <a:off x="12404090" y="3914775"/>
          <a:ext cx="466725" cy="228600"/>
        </a:xfrm>
        <a:prstGeom prst="rect">
          <a:avLst/>
        </a:prstGeom>
      </xdr:spPr>
    </xdr:sp>
    <xdr:clientData/>
  </xdr:two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欧耶😊" id="{0EEB5F1A-741F-4C23-81FE-EF0E74E39D0E}"/>
</tc2018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vmlDrawing" Target="../drawings/vmlDrawing1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0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Q19"/>
  <sheetViews>
    <sheetView showGridLines="1" zoomScale="85" zoomScaleNormal="85" workbookViewId="0"/>
  </sheetViews>
  <sheetFormatPr defaultColWidth="9" defaultRowHeight="13.5"/>
  <cols>
    <col min="1" max="1" width="6.31667" style="239" customWidth="1"/>
    <col min="2" max="2" width="13.825" style="239" customWidth="1"/>
    <col min="3" max="3" width="13.1667" style="239" customWidth="1"/>
    <col min="4" max="4" width="0.15" style="239" customWidth="1"/>
    <col min="5" max="5" width="9" style="239" customWidth="1"/>
    <col min="6" max="6" width="9" style="239" hidden="1" customWidth="1"/>
    <col min="7" max="7" width="8.675" style="239" customWidth="1"/>
    <col min="8" max="8" width="11.7583" style="240" customWidth="1"/>
    <col min="9" max="9" width="12.6833" style="240" customWidth="1"/>
    <col min="10" max="10" width="21.025" style="241" customWidth="1"/>
    <col min="11" max="11" width="19.1167" style="241" customWidth="1"/>
    <col min="12" max="12" width="20.15" style="241" customWidth="1"/>
    <col min="13" max="13" width="26.9167" style="242" customWidth="1"/>
    <col min="14" max="14" width="12.15" style="241" customWidth="1"/>
    <col min="15" max="16" width="13.75"/>
    <col min="17" max="17" width="9" customWidth="1"/>
  </cols>
  <sheetData>
    <row r="1" spans="1:14" ht="44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6" t="s"/>
      <c r="K1" s="6" t="s"/>
      <c r="L1" s="6" t="s"/>
      <c r="M1" s="6" t="s"/>
      <c r="N1" s="6" t="s"/>
    </row>
    <row r="2" spans="1:14" ht="44" customHeight="1">
      <c r="A2" s="7" t="s">
        <v>2</v>
      </c>
      <c r="B2" s="8" t="s">
        <v>3</v>
      </c>
      <c r="C2" s="9" t="s">
        <v>4</v>
      </c>
      <c r="D2" s="8" t="s"/>
      <c r="E2" s="8" t="s">
        <v>5</v>
      </c>
      <c r="F2" s="8" t="s"/>
      <c r="G2" s="8" t="s">
        <v>6</v>
      </c>
      <c r="H2" s="10" t="s">
        <v>7</v>
      </c>
      <c r="I2" s="7" t="s">
        <v>8</v>
      </c>
      <c r="J2" s="7" t="s">
        <v>402</v>
      </c>
      <c r="K2" s="11" t="s">
        <v>9</v>
      </c>
      <c r="L2" s="12" t="s">
        <v>10</v>
      </c>
      <c r="M2" s="13" t="s">
        <v>11</v>
      </c>
      <c r="N2" s="7" t="s">
        <v>12</v>
      </c>
    </row>
    <row r="3" spans="1:14" s="238" customFormat="1" ht="38" customHeight="1">
      <c r="A3" s="14" t="s">
        <v>13</v>
      </c>
      <c r="B3" s="15" t="s">
        <v>14</v>
      </c>
      <c r="C3" s="15" t="s">
        <v>15</v>
      </c>
      <c r="D3" s="16" t="s"/>
      <c r="E3" s="17" t="s">
        <v>16</v>
      </c>
      <c r="F3" s="18" t="s">
        <v>17</v>
      </c>
      <c r="G3" s="19" t="s">
        <v>18</v>
      </c>
      <c r="H3" s="20" t="s">
        <v>19</v>
      </c>
      <c r="I3" s="21">
        <v>-1960</v>
      </c>
      <c r="J3" s="22" t="s">
        <v>20</v>
      </c>
      <c r="K3" s="23" t="s"/>
      <c r="L3" s="24" t="s"/>
      <c r="M3" s="25" t="s"/>
      <c r="N3" s="26" t="s">
        <v>21</v>
      </c>
    </row>
    <row r="4" spans="1:14" s="238" customFormat="1" ht="38" customHeight="1">
      <c r="A4" s="27" t="s"/>
      <c r="B4" s="28" t="s">
        <v>14</v>
      </c>
      <c r="C4" s="28" t="s">
        <v>15</v>
      </c>
      <c r="D4" s="29" t="s"/>
      <c r="E4" s="30" t="s">
        <v>22</v>
      </c>
      <c r="F4" s="31" t="s">
        <v>23</v>
      </c>
      <c r="G4" s="32" t="s">
        <v>24</v>
      </c>
      <c r="H4" s="33" t="s">
        <v>19</v>
      </c>
      <c r="I4" s="34">
        <v>-4200</v>
      </c>
      <c r="J4" s="22" t="s">
        <v>25</v>
      </c>
      <c r="K4" s="23" t="s"/>
      <c r="L4" s="24" t="s"/>
      <c r="M4" s="25" t="s"/>
      <c r="N4" s="35" t="s"/>
    </row>
    <row r="5" spans="1:14" s="238" customFormat="1" ht="38" hidden="1" customHeight="1">
      <c r="A5" s="14" t="s">
        <v>26</v>
      </c>
      <c r="B5" s="28" t="s">
        <v>14</v>
      </c>
      <c r="C5" s="28" t="s">
        <v>15</v>
      </c>
      <c r="D5" s="29" t="s"/>
      <c r="E5" s="30" t="s">
        <v>16</v>
      </c>
      <c r="F5" s="31" t="s">
        <v>27</v>
      </c>
      <c r="G5" s="32" t="s">
        <v>24</v>
      </c>
      <c r="H5" s="36" t="s">
        <v>28</v>
      </c>
      <c r="I5" s="37">
        <f>=-24*56</f>
        <v>-1344</v>
      </c>
      <c r="J5" s="38" t="s">
        <v>29</v>
      </c>
      <c r="K5" s="23" t="s"/>
      <c r="L5" s="23" t="s"/>
      <c r="M5" s="39" t="s"/>
      <c r="N5" s="26" t="s">
        <v>30</v>
      </c>
    </row>
    <row r="6" spans="1:14" s="238" customFormat="1" ht="44" hidden="1" customHeight="1">
      <c r="A6" s="40" t="s"/>
      <c r="B6" s="41" t="s">
        <v>31</v>
      </c>
      <c r="C6" s="41" t="s">
        <v>32</v>
      </c>
      <c r="D6" s="42" t="s"/>
      <c r="E6" s="41" t="s">
        <v>16</v>
      </c>
      <c r="F6" s="43" t="s">
        <v>33</v>
      </c>
      <c r="G6" s="44" t="s">
        <v>34</v>
      </c>
      <c r="H6" s="45" t="s">
        <v>35</v>
      </c>
      <c r="I6" s="46">
        <v>-26069</v>
      </c>
      <c r="J6" s="38" t="s">
        <v>25</v>
      </c>
      <c r="K6" s="47" t="s"/>
      <c r="L6" s="47" t="s"/>
      <c r="M6" s="48" t="s">
        <v>36</v>
      </c>
      <c r="N6" s="49" t="s"/>
    </row>
    <row r="7" spans="1:15" ht="38" hidden="1" customHeight="1">
      <c r="A7" s="14" t="s">
        <v>37</v>
      </c>
      <c r="B7" s="50" t="s">
        <v>38</v>
      </c>
      <c r="C7" s="50" t="s">
        <v>39</v>
      </c>
      <c r="D7" s="51" t="s"/>
      <c r="E7" s="50" t="s">
        <v>16</v>
      </c>
      <c r="F7" s="52" t="s">
        <v>40</v>
      </c>
      <c r="G7" s="53" t="s">
        <v>41</v>
      </c>
      <c r="H7" s="54" t="s">
        <v>42</v>
      </c>
      <c r="I7" s="37">
        <v>-2142</v>
      </c>
      <c r="J7" s="38" t="s">
        <v>43</v>
      </c>
      <c r="K7" s="55" t="s"/>
      <c r="L7" s="55" t="s"/>
      <c r="M7" s="56" t="s"/>
      <c r="N7" s="26" t="s">
        <v>30</v>
      </c>
      <c r="O7" s="57">
        <f>=41*42+28*15</f>
        <v>2142</v>
      </c>
    </row>
    <row r="8" spans="1:15" ht="38" hidden="1" customHeight="1">
      <c r="A8" s="27" t="s"/>
      <c r="B8" s="50" t="s">
        <v>38</v>
      </c>
      <c r="C8" s="50" t="s">
        <v>39</v>
      </c>
      <c r="D8" s="51" t="s"/>
      <c r="E8" s="50" t="s">
        <v>16</v>
      </c>
      <c r="F8" s="52" t="s">
        <v>40</v>
      </c>
      <c r="G8" s="53" t="s">
        <v>44</v>
      </c>
      <c r="H8" s="54" t="s">
        <v>42</v>
      </c>
      <c r="I8" s="37">
        <v>-105</v>
      </c>
      <c r="J8" s="38" t="s">
        <v>45</v>
      </c>
      <c r="K8" s="55" t="s"/>
      <c r="L8" s="55" t="s"/>
      <c r="M8" s="56" t="s">
        <v>46</v>
      </c>
      <c r="N8" s="35" t="s"/>
      <c r="O8" s="57" t="s"/>
    </row>
    <row r="9" spans="1:15" ht="30" hidden="1" customHeight="1">
      <c r="A9" s="40" t="s"/>
      <c r="B9" s="50" t="s">
        <v>47</v>
      </c>
      <c r="C9" s="50" t="s">
        <v>48</v>
      </c>
      <c r="D9" s="51" t="s"/>
      <c r="E9" s="50" t="s">
        <v>16</v>
      </c>
      <c r="F9" s="52" t="s">
        <v>49</v>
      </c>
      <c r="G9" s="53" t="s">
        <v>50</v>
      </c>
      <c r="H9" s="54" t="s">
        <v>51</v>
      </c>
      <c r="I9" s="37">
        <f>=-88*42-10*15</f>
        <v>-3846</v>
      </c>
      <c r="J9" s="38" t="s">
        <v>52</v>
      </c>
      <c r="K9" s="58" t="s"/>
      <c r="L9" s="58" t="s"/>
      <c r="M9" s="58" t="s"/>
      <c r="N9" s="49" t="s"/>
      <c r="O9" s="57" t="s"/>
    </row>
    <row r="10" spans="1:14" s="238" customFormat="1" ht="38" hidden="1" customHeight="1">
      <c r="A10" s="14" t="s">
        <v>53</v>
      </c>
      <c r="B10" s="41" t="s">
        <v>14</v>
      </c>
      <c r="C10" s="41" t="s">
        <v>54</v>
      </c>
      <c r="D10" s="42" t="s"/>
      <c r="E10" s="41" t="s">
        <v>55</v>
      </c>
      <c r="F10" s="43" t="s">
        <v>56</v>
      </c>
      <c r="G10" s="59" t="s">
        <v>24</v>
      </c>
      <c r="H10" s="45" t="s">
        <v>42</v>
      </c>
      <c r="I10" s="46">
        <f>=-36*140</f>
        <v>-5040</v>
      </c>
      <c r="J10" s="38" t="s">
        <v>57</v>
      </c>
      <c r="K10" s="60" t="s">
        <v>58</v>
      </c>
      <c r="L10" s="55" t="s"/>
      <c r="M10" s="61" t="s"/>
      <c r="N10" s="26" t="s">
        <v>30</v>
      </c>
    </row>
    <row r="11" spans="1:14" s="238" customFormat="1" ht="38" hidden="1" customHeight="1">
      <c r="A11" s="27" t="s"/>
      <c r="B11" s="41" t="s">
        <v>59</v>
      </c>
      <c r="C11" s="41" t="s">
        <v>60</v>
      </c>
      <c r="D11" s="42" t="s"/>
      <c r="E11" s="41" t="s">
        <v>61</v>
      </c>
      <c r="F11" s="43" t="s">
        <v>403</v>
      </c>
      <c r="G11" s="59" t="s">
        <v>62</v>
      </c>
      <c r="H11" s="45" t="s">
        <v>42</v>
      </c>
      <c r="I11" s="62">
        <v>-1008</v>
      </c>
      <c r="J11" s="38" t="s">
        <v>63</v>
      </c>
      <c r="K11" s="60" t="s">
        <v>58</v>
      </c>
      <c r="L11" s="63" t="s">
        <v>64</v>
      </c>
      <c r="M11" s="64" t="s"/>
      <c r="N11" s="35" t="s"/>
    </row>
    <row r="12" spans="1:14" ht="48" hidden="1" customHeight="1">
      <c r="A12" s="40" t="s"/>
      <c r="B12" s="41" t="s">
        <v>65</v>
      </c>
      <c r="C12" s="41" t="s">
        <v>66</v>
      </c>
      <c r="D12" s="42" t="s"/>
      <c r="E12" s="41" t="s">
        <v>67</v>
      </c>
      <c r="F12" s="65" t="s">
        <v>68</v>
      </c>
      <c r="G12" s="44" t="s">
        <v>69</v>
      </c>
      <c r="H12" s="66" t="s">
        <v>51</v>
      </c>
      <c r="I12" s="67">
        <v>-14730</v>
      </c>
      <c r="J12" s="38" t="s">
        <v>25</v>
      </c>
      <c r="K12" s="68" t="s"/>
      <c r="L12" s="69" t="s">
        <v>70</v>
      </c>
      <c r="M12" s="68" t="s"/>
      <c r="N12" s="49" t="s"/>
    </row>
    <row r="13" spans="1:14" ht="42" customHeight="1">
      <c r="A13" s="70" t="s">
        <v>404</v>
      </c>
      <c r="B13" s="71" t="s"/>
      <c r="C13" s="71" t="s"/>
      <c r="D13" s="71" t="s"/>
      <c r="E13" s="71" t="s"/>
      <c r="F13" s="71" t="s"/>
      <c r="G13" s="71" t="s"/>
      <c r="H13" s="71" t="s"/>
      <c r="I13" s="71" t="s"/>
      <c r="J13" s="71" t="s"/>
      <c r="K13" s="71" t="s"/>
      <c r="L13" s="71" t="s"/>
      <c r="M13" s="71" t="s"/>
      <c r="N13" s="71" t="s"/>
    </row>
    <row r="14" spans="13:13" ht="21" customHeight="1">
      <c r="M14" s="72" t="s">
        <v>71</v>
      </c>
    </row>
    <row r="15" spans="1:26" ht="21" customHeight="1"/>
    <row r="16" spans="1:26" ht="19" customHeight="1"/>
    <row r="17" spans="1:26" ht="21" customHeight="1"/>
    <row r="18" spans="1:26" ht="21" customHeight="1"/>
    <row r="19" spans="8:8" ht="21" customHeight="1">
      <c r="H19" s="57" t="s"/>
    </row>
  </sheetData>
  <autoFilter ref="A2:N14">
    <sortState ref="A2:N14">
      <sortCondition ref="A2:A14"/>
    </sortState>
    <extLst/>
  </autoFilter>
  <mergeCells count="10">
    <mergeCell ref="A1:N1"/>
    <mergeCell ref="A13:N13"/>
    <mergeCell ref="A3:A4"/>
    <mergeCell ref="A5:A6"/>
    <mergeCell ref="A7:A9"/>
    <mergeCell ref="A10:A12"/>
    <mergeCell ref="N3:N4"/>
    <mergeCell ref="N5:N6"/>
    <mergeCell ref="N7:N9"/>
    <mergeCell ref="N10:N12"/>
  </mergeCells>
  <printOptions horizontalCentered="1"/>
  <pageMargins left="0.590278" right="0.590278" top="0.393056" bottom="0.196528" header="0" footer="0"/>
  <pageSetup paperSize="9" scale="62" orientation="landscape" horizontalDpi="600"/>
  <headerFooter/>
  <drawing r:id="rId1"/>
  <legacyDrawing r:id="rId0"/>
</worksheet>
</file>

<file path=xl/worksheets/sheet2.xml><?xml version="1.0" encoding="utf-8"?>
<worksheet xmlns="http://schemas.openxmlformats.org/spreadsheetml/2006/main">
  <sheetPr/>
  <dimension ref="N15"/>
  <sheetViews>
    <sheetView showGridLines="1" topLeftCell="B1" workbookViewId="0"/>
  </sheetViews>
  <sheetFormatPr defaultColWidth="8.89167" defaultRowHeight="13.5"/>
  <cols>
    <col min="1" max="1" width="7.10833" hidden="1" customWidth="1"/>
    <col min="2" max="2" width="13.6667" customWidth="1"/>
    <col min="3" max="3" width="11.4417" customWidth="1"/>
    <col min="4" max="4" width="8.89167" hidden="1" customWidth="1"/>
    <col min="5" max="5" width="8.89167" customWidth="1"/>
    <col min="6" max="6" width="37" customWidth="1"/>
    <col min="7" max="7" width="8.33333" customWidth="1"/>
    <col min="8" max="8" width="11.5583" customWidth="1"/>
    <col min="9" max="9" width="8.44167" hidden="1" customWidth="1"/>
    <col min="10" max="10" width="9.10833" customWidth="1"/>
    <col min="11" max="11" width="9.89167" hidden="1" customWidth="1"/>
    <col min="12" max="12" width="15.5583" customWidth="1"/>
    <col min="13" max="13" width="13.6667" customWidth="1"/>
    <col min="14" max="14" width="13.1083" customWidth="1"/>
  </cols>
  <sheetData>
    <row r="1" spans="1:14" ht="21" customHeight="1">
      <c r="A1" s="73" t="s">
        <v>72</v>
      </c>
      <c r="B1" s="74" t="s"/>
      <c r="C1" s="74" t="s"/>
      <c r="D1" s="74" t="s"/>
      <c r="E1" s="74" t="s"/>
      <c r="F1" s="74" t="s"/>
      <c r="G1" s="74" t="s"/>
      <c r="H1" s="74" t="s"/>
      <c r="I1" s="74" t="s"/>
      <c r="J1" s="75" t="s"/>
      <c r="K1" s="75" t="s"/>
      <c r="L1" s="75" t="s"/>
      <c r="M1" s="75" t="s"/>
      <c r="N1" s="76" t="s"/>
    </row>
    <row r="2" spans="1:14" ht="30" customHeight="1">
      <c r="A2" s="7" t="s">
        <v>2</v>
      </c>
      <c r="B2" s="8" t="s">
        <v>3</v>
      </c>
      <c r="C2" s="9" t="s">
        <v>4</v>
      </c>
      <c r="D2" s="8" t="s"/>
      <c r="E2" s="8" t="s">
        <v>5</v>
      </c>
      <c r="F2" s="8" t="s">
        <v>73</v>
      </c>
      <c r="G2" s="8" t="s">
        <v>6</v>
      </c>
      <c r="H2" s="10" t="s">
        <v>7</v>
      </c>
      <c r="I2" s="7" t="s">
        <v>8</v>
      </c>
      <c r="J2" s="7" t="s">
        <v>74</v>
      </c>
      <c r="K2" s="7" t="s">
        <v>75</v>
      </c>
      <c r="L2" s="13" t="s">
        <v>76</v>
      </c>
      <c r="M2" s="7" t="s">
        <v>77</v>
      </c>
      <c r="N2" s="77" t="s"/>
    </row>
    <row r="3" spans="1:14" ht="32" customHeight="1">
      <c r="A3" s="78" t="s">
        <v>78</v>
      </c>
      <c r="B3" s="79" t="s">
        <v>47</v>
      </c>
      <c r="C3" s="79" t="s">
        <v>39</v>
      </c>
      <c r="D3" s="79" t="s"/>
      <c r="E3" s="80" t="s">
        <v>16</v>
      </c>
      <c r="F3" s="81" t="s">
        <v>79</v>
      </c>
      <c r="G3" s="82" t="s">
        <v>41</v>
      </c>
      <c r="H3" s="83" t="s">
        <v>80</v>
      </c>
      <c r="I3" s="84" t="s"/>
      <c r="J3" s="85">
        <v>200</v>
      </c>
      <c r="K3" s="86" t="s"/>
      <c r="L3" s="87" t="s"/>
      <c r="M3" s="86" t="s"/>
      <c r="N3" s="77" t="s"/>
    </row>
    <row r="4" spans="1:14" ht="32" customHeight="1">
      <c r="A4" s="88" t="s"/>
      <c r="B4" s="79" t="s">
        <v>38</v>
      </c>
      <c r="C4" s="79" t="s">
        <v>81</v>
      </c>
      <c r="D4" s="79" t="s"/>
      <c r="E4" s="80" t="s">
        <v>16</v>
      </c>
      <c r="F4" s="81" t="s">
        <v>82</v>
      </c>
      <c r="G4" s="82" t="s">
        <v>41</v>
      </c>
      <c r="H4" s="83" t="s">
        <v>80</v>
      </c>
      <c r="I4" s="84" t="s"/>
      <c r="J4" s="85">
        <v>400</v>
      </c>
      <c r="K4" s="86" t="s"/>
      <c r="L4" s="89" t="s"/>
      <c r="M4" s="86" t="s"/>
      <c r="N4" s="90" t="s"/>
    </row>
    <row r="5" spans="1:14" ht="32" customHeight="1">
      <c r="A5" s="78" t="s">
        <v>13</v>
      </c>
      <c r="B5" s="79" t="s">
        <v>47</v>
      </c>
      <c r="C5" s="79" t="s">
        <v>81</v>
      </c>
      <c r="D5" s="79" t="s"/>
      <c r="E5" s="80" t="s">
        <v>16</v>
      </c>
      <c r="F5" s="81" t="s">
        <v>82</v>
      </c>
      <c r="G5" s="82" t="s">
        <v>50</v>
      </c>
      <c r="H5" s="83" t="s">
        <v>80</v>
      </c>
      <c r="I5" s="84" t="s"/>
      <c r="J5" s="85">
        <v>200</v>
      </c>
      <c r="K5" s="86" t="s"/>
      <c r="L5" s="89" t="s"/>
      <c r="M5" s="86" t="s"/>
      <c r="N5" s="90" t="s"/>
    </row>
    <row r="6" spans="1:14" ht="32" customHeight="1">
      <c r="A6" s="88" t="s"/>
      <c r="B6" s="79" t="s">
        <v>47</v>
      </c>
      <c r="C6" s="79" t="s">
        <v>81</v>
      </c>
      <c r="D6" s="79" t="s"/>
      <c r="E6" s="80" t="s">
        <v>16</v>
      </c>
      <c r="F6" s="81" t="s">
        <v>82</v>
      </c>
      <c r="G6" s="82" t="s">
        <v>50</v>
      </c>
      <c r="H6" s="83" t="s">
        <v>80</v>
      </c>
      <c r="I6" s="84" t="s"/>
      <c r="J6" s="85">
        <v>200</v>
      </c>
      <c r="K6" s="86" t="s"/>
      <c r="L6" s="91" t="s"/>
      <c r="M6" s="86" t="s"/>
      <c r="N6" s="90" t="s"/>
    </row>
    <row r="7" spans="1:14" ht="22" hidden="1" customHeight="1">
      <c r="A7" s="78" t="s">
        <v>83</v>
      </c>
      <c r="B7" s="80" t="s">
        <v>59</v>
      </c>
      <c r="C7" s="80" t="s">
        <v>84</v>
      </c>
      <c r="D7" s="80" t="s"/>
      <c r="E7" s="80" t="s">
        <v>16</v>
      </c>
      <c r="F7" s="92" t="s">
        <v>85</v>
      </c>
      <c r="G7" s="82" t="s">
        <v>62</v>
      </c>
      <c r="H7" s="83" t="s">
        <v>86</v>
      </c>
      <c r="I7" s="93" t="s"/>
      <c r="J7" s="94" t="s"/>
      <c r="K7" s="86" t="s"/>
      <c r="L7" s="89" t="s"/>
      <c r="M7" s="86" t="s"/>
      <c r="N7" s="90" t="s"/>
    </row>
    <row r="8" spans="1:14" ht="24" hidden="1" customHeight="1">
      <c r="A8" s="95" t="s"/>
      <c r="B8" s="80" t="s">
        <v>59</v>
      </c>
      <c r="C8" s="80" t="s">
        <v>54</v>
      </c>
      <c r="D8" s="80" t="s"/>
      <c r="E8" s="80" t="s">
        <v>16</v>
      </c>
      <c r="F8" s="92" t="s">
        <v>87</v>
      </c>
      <c r="G8" s="82" t="s">
        <v>62</v>
      </c>
      <c r="H8" s="83" t="s">
        <v>80</v>
      </c>
      <c r="I8" s="93" t="s"/>
      <c r="J8" s="94" t="s"/>
      <c r="K8" s="86" t="s"/>
      <c r="L8" s="91" t="s"/>
      <c r="M8" s="86" t="s"/>
      <c r="N8" s="76" t="s"/>
    </row>
    <row r="9" spans="1:14" ht="24" hidden="1" customHeight="1">
      <c r="A9" s="88" t="s"/>
      <c r="B9" s="80" t="s">
        <v>88</v>
      </c>
      <c r="C9" s="80" t="s">
        <v>89</v>
      </c>
      <c r="D9" s="80" t="s"/>
      <c r="E9" s="80" t="s">
        <v>16</v>
      </c>
      <c r="F9" s="92" t="s">
        <v>90</v>
      </c>
      <c r="G9" s="82" t="s">
        <v>91</v>
      </c>
      <c r="H9" s="83" t="s">
        <v>80</v>
      </c>
      <c r="I9" s="93" t="s"/>
      <c r="J9" s="94" t="s"/>
      <c r="K9" s="86" t="s"/>
      <c r="L9" s="89" t="s"/>
      <c r="M9" s="86" t="s"/>
      <c r="N9" s="76" t="s"/>
    </row>
    <row r="10" spans="1:14" ht="24" hidden="1" customHeight="1">
      <c r="A10" s="78" t="s">
        <v>92</v>
      </c>
      <c r="B10" s="50" t="s">
        <v>14</v>
      </c>
      <c r="C10" s="50" t="s">
        <v>93</v>
      </c>
      <c r="D10" s="50" t="s"/>
      <c r="E10" s="50" t="s">
        <v>94</v>
      </c>
      <c r="F10" s="52" t="s">
        <v>95</v>
      </c>
      <c r="G10" s="96" t="s">
        <v>24</v>
      </c>
      <c r="H10" s="54" t="s">
        <v>80</v>
      </c>
      <c r="I10" s="93" t="s"/>
      <c r="J10" s="94" t="s"/>
      <c r="K10" s="86" t="s"/>
      <c r="L10" s="97" t="s"/>
      <c r="M10" s="86" t="s"/>
      <c r="N10" s="76" t="s"/>
    </row>
    <row r="11" spans="1:15" ht="24" hidden="1" customHeight="1">
      <c r="A11" s="88" t="s"/>
      <c r="B11" s="80" t="s">
        <v>59</v>
      </c>
      <c r="C11" s="80" t="s">
        <v>96</v>
      </c>
      <c r="D11" s="80" t="s"/>
      <c r="E11" s="80" t="s">
        <v>97</v>
      </c>
      <c r="F11" s="92" t="s">
        <v>98</v>
      </c>
      <c r="G11" s="82" t="s">
        <v>62</v>
      </c>
      <c r="H11" s="83" t="s">
        <v>80</v>
      </c>
      <c r="I11" s="93" t="s"/>
      <c r="J11" s="94" t="s"/>
      <c r="K11" s="86" t="s"/>
      <c r="L11" s="89" t="s"/>
      <c r="M11" s="86" t="s"/>
      <c r="N11" s="77" t="s"/>
      <c r="O11" s="57" t="s"/>
    </row>
    <row r="12" spans="1:14" ht="20.25">
      <c r="A12" s="98" t="s"/>
      <c r="B12" s="98" t="s"/>
      <c r="C12" s="98" t="s"/>
      <c r="D12" s="98" t="s"/>
      <c r="E12" s="98" t="s"/>
      <c r="F12" s="98" t="s"/>
      <c r="G12" s="98" t="s"/>
      <c r="H12" s="99" t="s"/>
      <c r="I12" s="99" t="s"/>
      <c r="J12" s="72" t="s"/>
      <c r="K12" s="72" t="s"/>
      <c r="L12" s="100" t="s">
        <v>71</v>
      </c>
      <c r="M12" s="72" t="s"/>
      <c r="N12" s="76" t="s"/>
    </row>
    <row r="13" spans="1:14" ht="20.25">
      <c r="A13" s="76" t="s"/>
      <c r="B13" s="76" t="s"/>
      <c r="C13" s="76" t="s"/>
      <c r="D13" s="76" t="s"/>
      <c r="E13" s="76" t="s"/>
      <c r="F13" s="76" t="s"/>
      <c r="G13" s="76" t="s"/>
      <c r="H13" s="76" t="s"/>
      <c r="I13" s="76" t="s"/>
      <c r="J13" s="76" t="s"/>
      <c r="K13" s="76" t="s"/>
      <c r="L13" s="76" t="s"/>
      <c r="M13" s="76" t="s"/>
      <c r="N13" s="76" t="s"/>
    </row>
    <row r="14" spans="1:14" ht="20.25">
      <c r="A14" s="76" t="s"/>
      <c r="B14" s="76" t="s"/>
      <c r="C14" s="76" t="s"/>
      <c r="D14" s="76" t="s"/>
      <c r="E14" s="76" t="s"/>
      <c r="F14" s="76" t="s"/>
      <c r="G14" s="76" t="s"/>
      <c r="H14" s="76" t="s"/>
      <c r="I14" s="76" t="s"/>
      <c r="J14" s="76" t="s"/>
      <c r="K14" s="76" t="s"/>
      <c r="L14" s="76" t="s"/>
      <c r="M14" s="76" t="s"/>
      <c r="N14" s="76" t="s"/>
    </row>
    <row r="15" spans="1:14" ht="20.25">
      <c r="A15" s="76" t="s"/>
      <c r="B15" s="76" t="s"/>
      <c r="C15" s="76" t="s"/>
      <c r="D15" s="76" t="s"/>
      <c r="E15" s="76" t="s"/>
      <c r="F15" s="76" t="s"/>
      <c r="G15" s="76" t="s"/>
      <c r="H15" s="76" t="s"/>
      <c r="I15" s="76" t="s"/>
      <c r="J15" s="76" t="s"/>
      <c r="K15" s="76" t="s"/>
      <c r="L15" s="76" t="s"/>
      <c r="M15" s="76" t="s"/>
      <c r="N15" s="76" t="s"/>
    </row>
  </sheetData>
  <mergeCells count="5">
    <mergeCell ref="A1:M1"/>
    <mergeCell ref="A3:A4"/>
    <mergeCell ref="A5:A6"/>
    <mergeCell ref="A7:A9"/>
    <mergeCell ref="A10:A11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J50"/>
  <sheetViews>
    <sheetView showGridLines="1" topLeftCell="A5" workbookViewId="0"/>
  </sheetViews>
  <sheetFormatPr defaultColWidth="8.89167" defaultRowHeight="13.5"/>
  <cols>
    <col min="1" max="1" width="36.25" customWidth="1"/>
    <col min="2" max="2" width="38" hidden="1" customWidth="1"/>
    <col min="3" max="3" width="7.225" hidden="1" customWidth="1"/>
    <col min="4" max="4" width="21.775" customWidth="1"/>
    <col min="5" max="5" width="24.225" customWidth="1"/>
    <col min="6" max="10" width="8.89167" hidden="1" customWidth="1"/>
  </cols>
  <sheetData>
    <row r="1" spans="1:5" ht="24" customHeight="1">
      <c r="A1" s="101" t="s">
        <v>99</v>
      </c>
      <c r="B1" s="101" t="s">
        <v>100</v>
      </c>
      <c r="C1" s="102" t="s"/>
      <c r="D1" s="103" t="s">
        <v>101</v>
      </c>
      <c r="E1" s="104" t="s">
        <v>102</v>
      </c>
    </row>
    <row r="2" spans="1:10" ht="16" customHeight="1">
      <c r="A2" s="105" t="s">
        <v>103</v>
      </c>
      <c r="B2" s="106" t="s">
        <v>104</v>
      </c>
      <c r="C2" s="107" t="s"/>
      <c r="D2" s="108" t="s"/>
      <c r="E2" s="109" t="s"/>
      <c r="F2" s="110" t="s"/>
      <c r="G2" s="111" t="s"/>
      <c r="H2" s="112" t="s"/>
      <c r="I2" s="111" t="s"/>
      <c r="J2" s="113" t="s"/>
    </row>
    <row r="3" spans="1:10" ht="16" customHeight="1">
      <c r="A3" s="114" t="s">
        <v>105</v>
      </c>
      <c r="B3" s="106" t="s">
        <v>106</v>
      </c>
      <c r="C3" s="107" t="s"/>
      <c r="D3" s="108" t="s"/>
      <c r="E3" s="109" t="s"/>
      <c r="F3" s="110" t="s"/>
      <c r="G3" s="111" t="s"/>
      <c r="H3" s="112" t="s"/>
      <c r="I3" s="111" t="s"/>
      <c r="J3" s="113" t="s"/>
    </row>
    <row r="4" spans="1:10" ht="16" customHeight="1">
      <c r="A4" s="114" t="s">
        <v>107</v>
      </c>
      <c r="B4" s="115" t="s">
        <v>108</v>
      </c>
      <c r="C4" s="107" t="s"/>
      <c r="D4" s="108" t="s"/>
      <c r="E4" s="109" t="s"/>
      <c r="F4" s="110" t="s"/>
      <c r="G4" s="111" t="s"/>
      <c r="H4" s="112" t="s"/>
      <c r="I4" s="111" t="s"/>
      <c r="J4" s="113" t="s"/>
    </row>
    <row r="5" spans="1:5" s="238" customFormat="1" ht="20" customHeight="1">
      <c r="A5" s="116" t="s">
        <v>109</v>
      </c>
      <c r="B5" s="106" t="s">
        <v>110</v>
      </c>
      <c r="D5" s="106" t="s"/>
      <c r="E5" s="106" t="s"/>
    </row>
    <row r="6" spans="1:5" ht="15" customHeight="1">
      <c r="A6" s="116" t="s">
        <v>111</v>
      </c>
      <c r="B6" s="117" t="s">
        <v>112</v>
      </c>
      <c r="D6" s="106" t="s"/>
      <c r="E6" s="106" t="s"/>
    </row>
    <row r="7" spans="1:5" s="238" customFormat="1" ht="15" customHeight="1">
      <c r="A7" s="116" t="s">
        <v>113</v>
      </c>
      <c r="B7" s="106" t="s">
        <v>114</v>
      </c>
      <c r="D7" s="106" t="s"/>
      <c r="E7" s="106" t="s"/>
    </row>
    <row r="8" spans="1:5" s="238" customFormat="1" ht="15" customHeight="1">
      <c r="A8" s="116" t="s">
        <v>115</v>
      </c>
      <c r="B8" s="106" t="s">
        <v>116</v>
      </c>
      <c r="D8" s="106" t="s"/>
      <c r="E8" s="106" t="s"/>
    </row>
    <row r="9" spans="1:5" s="238" customFormat="1" ht="15" customHeight="1">
      <c r="A9" s="116" t="s">
        <v>113</v>
      </c>
      <c r="B9" s="106" t="s">
        <v>117</v>
      </c>
      <c r="D9" s="106" t="s"/>
      <c r="E9" s="106" t="s"/>
    </row>
    <row r="10" spans="1:5" ht="15" customHeight="1">
      <c r="A10" s="116" t="s">
        <v>118</v>
      </c>
      <c r="B10" s="106" t="s">
        <v>119</v>
      </c>
      <c r="D10" s="106" t="s"/>
      <c r="E10" s="106" t="s"/>
    </row>
    <row r="11" spans="1:5" s="238" customFormat="1" ht="16" customHeight="1">
      <c r="A11" s="116" t="s">
        <v>120</v>
      </c>
      <c r="B11" s="106" t="s">
        <v>121</v>
      </c>
      <c r="D11" s="106" t="s"/>
      <c r="E11" s="106" t="s"/>
    </row>
    <row r="12" spans="1:5" ht="16" customHeight="1">
      <c r="A12" s="116" t="s">
        <v>122</v>
      </c>
      <c r="B12" s="106" t="s">
        <v>123</v>
      </c>
      <c r="D12" s="106" t="s"/>
      <c r="E12" s="106" t="s"/>
    </row>
    <row r="13" spans="1:5" ht="15" customHeight="1">
      <c r="A13" s="116" t="s">
        <v>124</v>
      </c>
      <c r="B13" s="106" t="s">
        <v>125</v>
      </c>
      <c r="D13" s="106" t="s"/>
      <c r="E13" s="106" t="s"/>
    </row>
    <row r="14" spans="1:5" ht="15" customHeight="1">
      <c r="A14" s="116" t="s">
        <v>126</v>
      </c>
      <c r="B14" s="106" t="s">
        <v>127</v>
      </c>
      <c r="D14" s="106" t="s"/>
      <c r="E14" s="106" t="s"/>
    </row>
    <row r="15" spans="1:5" ht="15" customHeight="1">
      <c r="A15" s="116" t="s">
        <v>128</v>
      </c>
      <c r="B15" s="106" t="s">
        <v>129</v>
      </c>
      <c r="D15" s="106" t="s"/>
      <c r="E15" s="106" t="s"/>
    </row>
    <row r="16" spans="1:5" ht="15" customHeight="1">
      <c r="A16" s="116" t="s">
        <v>130</v>
      </c>
      <c r="B16" s="118" t="s">
        <v>405</v>
      </c>
      <c r="D16" s="106" t="s"/>
      <c r="E16" s="106" t="s"/>
    </row>
    <row r="17" spans="1:5" ht="15" customHeight="1">
      <c r="A17" s="116" t="s">
        <v>131</v>
      </c>
      <c r="B17" s="115" t="s">
        <v>132</v>
      </c>
      <c r="D17" s="106" t="s"/>
      <c r="E17" s="106" t="s"/>
    </row>
    <row r="18" spans="1:5" ht="15" customHeight="1">
      <c r="A18" s="116" t="s">
        <v>133</v>
      </c>
      <c r="B18" s="106" t="s">
        <v>134</v>
      </c>
      <c r="D18" s="106" t="s"/>
      <c r="E18" s="106" t="s"/>
    </row>
    <row r="19" spans="1:5" ht="15" customHeight="1">
      <c r="A19" s="116" t="s">
        <v>131</v>
      </c>
      <c r="B19" s="106" t="s">
        <v>93</v>
      </c>
      <c r="D19" s="106" t="s"/>
      <c r="E19" s="106" t="s"/>
    </row>
    <row r="20" spans="1:5" ht="15" customHeight="1">
      <c r="A20" s="116" t="s">
        <v>133</v>
      </c>
      <c r="B20" s="106" t="s">
        <v>135</v>
      </c>
      <c r="D20" s="106" t="s"/>
      <c r="E20" s="106" t="s"/>
    </row>
    <row r="21" spans="1:5" s="238" customFormat="1" ht="15" customHeight="1">
      <c r="A21" s="116" t="s">
        <v>136</v>
      </c>
      <c r="B21" s="106" t="s">
        <v>137</v>
      </c>
      <c r="D21" s="106" t="s"/>
      <c r="E21" s="106" t="s"/>
    </row>
    <row r="22" spans="1:5" s="238" customFormat="1" ht="15" customHeight="1">
      <c r="A22" s="116" t="s">
        <v>138</v>
      </c>
      <c r="B22" s="106" t="s">
        <v>139</v>
      </c>
      <c r="D22" s="106" t="s"/>
      <c r="E22" s="106" t="s"/>
    </row>
    <row r="23" spans="1:5" s="238" customFormat="1" ht="18" customHeight="1">
      <c r="A23" s="116" t="s">
        <v>140</v>
      </c>
      <c r="B23" s="119" t="s">
        <v>141</v>
      </c>
      <c r="D23" s="106" t="s"/>
      <c r="E23" s="106" t="s"/>
    </row>
    <row r="24" spans="1:5" s="238" customFormat="1" ht="18" customHeight="1">
      <c r="A24" s="116" t="s">
        <v>142</v>
      </c>
      <c r="B24" s="106" t="s">
        <v>143</v>
      </c>
      <c r="D24" s="106" t="s"/>
      <c r="E24" s="106" t="s"/>
    </row>
    <row r="25" spans="1:5" ht="18" customHeight="1">
      <c r="A25" s="116" t="s">
        <v>144</v>
      </c>
      <c r="B25" s="106" t="s">
        <v>145</v>
      </c>
      <c r="D25" s="106" t="s"/>
      <c r="E25" s="106" t="s"/>
    </row>
    <row r="26" spans="1:5" ht="18" customHeight="1">
      <c r="A26" s="116" t="s">
        <v>146</v>
      </c>
      <c r="B26" s="106" t="s">
        <v>147</v>
      </c>
      <c r="D26" s="106" t="s"/>
      <c r="E26" s="106" t="s"/>
    </row>
    <row r="27" spans="1:5" ht="18" customHeight="1">
      <c r="A27" s="116" t="s">
        <v>148</v>
      </c>
      <c r="B27" s="106" t="s">
        <v>149</v>
      </c>
      <c r="D27" s="106" t="s"/>
      <c r="E27" s="106" t="s"/>
    </row>
    <row r="28" spans="1:5" ht="18" customHeight="1">
      <c r="A28" s="116" t="s">
        <v>150</v>
      </c>
      <c r="B28" s="106" t="s">
        <v>151</v>
      </c>
      <c r="D28" s="106" t="s"/>
      <c r="E28" s="106" t="s"/>
    </row>
    <row r="29" spans="1:5" ht="18" customHeight="1">
      <c r="A29" s="116" t="s">
        <v>152</v>
      </c>
      <c r="B29" s="106" t="s">
        <v>153</v>
      </c>
      <c r="D29" s="106" t="s"/>
      <c r="E29" s="106" t="s"/>
    </row>
    <row r="30" spans="1:5" ht="18" customHeight="1">
      <c r="A30" s="116" t="s">
        <v>154</v>
      </c>
      <c r="B30" s="106" t="s">
        <v>406</v>
      </c>
      <c r="D30" s="106" t="s"/>
      <c r="E30" s="106" t="s"/>
    </row>
    <row r="31" spans="1:5" ht="16" customHeight="1">
      <c r="A31" s="116" t="s">
        <v>155</v>
      </c>
      <c r="B31" s="106" t="s">
        <v>156</v>
      </c>
      <c r="D31" s="106" t="s"/>
      <c r="E31" s="106" t="s"/>
    </row>
    <row r="32" spans="1:5" ht="16" customHeight="1">
      <c r="A32" s="116" t="s">
        <v>157</v>
      </c>
      <c r="B32" s="106" t="s">
        <v>158</v>
      </c>
      <c r="D32" s="106" t="s"/>
      <c r="E32" s="106" t="s"/>
    </row>
    <row r="33" spans="1:5" ht="16" customHeight="1">
      <c r="A33" s="116" t="s">
        <v>159</v>
      </c>
      <c r="B33" s="106" t="s">
        <v>160</v>
      </c>
      <c r="D33" s="106" t="s"/>
      <c r="E33" s="106" t="s"/>
    </row>
    <row r="34" spans="1:5" ht="16" customHeight="1">
      <c r="A34" s="116" t="s">
        <v>161</v>
      </c>
      <c r="B34" s="106" t="s">
        <v>162</v>
      </c>
      <c r="D34" s="106" t="s"/>
      <c r="E34" s="106" t="s"/>
    </row>
    <row r="35" spans="1:5" ht="20" customHeight="1">
      <c r="A35" s="116" t="s">
        <v>163</v>
      </c>
      <c r="B35" s="106" t="s">
        <v>164</v>
      </c>
      <c r="D35" s="106" t="s"/>
      <c r="E35" s="106" t="s"/>
    </row>
    <row r="36" spans="1:5" ht="16" customHeight="1">
      <c r="A36" s="116" t="s">
        <v>165</v>
      </c>
      <c r="B36" s="106" t="s">
        <v>166</v>
      </c>
      <c r="D36" s="106" t="s"/>
      <c r="E36" s="106" t="s"/>
    </row>
    <row r="37" spans="1:5" ht="16" customHeight="1">
      <c r="A37" s="116" t="s">
        <v>167</v>
      </c>
      <c r="B37" s="106" t="s">
        <v>168</v>
      </c>
      <c r="D37" s="106" t="s"/>
      <c r="E37" s="106" t="s"/>
    </row>
    <row r="38" spans="1:5" ht="16" customHeight="1">
      <c r="A38" s="116" t="s">
        <v>169</v>
      </c>
      <c r="B38" s="106" t="s">
        <v>170</v>
      </c>
      <c r="D38" s="106" t="s"/>
      <c r="E38" s="106" t="s"/>
    </row>
    <row r="39" spans="1:5" ht="20" customHeight="1">
      <c r="A39" s="116" t="s">
        <v>171</v>
      </c>
      <c r="B39" s="106" t="s">
        <v>172</v>
      </c>
      <c r="D39" s="106" t="s"/>
      <c r="E39" s="106" t="s"/>
    </row>
    <row r="40" spans="1:5" ht="18" customHeight="1">
      <c r="A40" s="116" t="s">
        <v>173</v>
      </c>
      <c r="B40" s="106" t="s">
        <v>174</v>
      </c>
      <c r="D40" s="106" t="s"/>
      <c r="E40" s="106" t="s"/>
    </row>
    <row r="41" spans="1:5" ht="18" customHeight="1">
      <c r="A41" s="116" t="s">
        <v>175</v>
      </c>
      <c r="B41" s="106" t="s">
        <v>176</v>
      </c>
      <c r="D41" s="106" t="s"/>
      <c r="E41" s="106" t="s"/>
    </row>
    <row r="42" spans="1:5" ht="15" customHeight="1">
      <c r="A42" s="116" t="s">
        <v>177</v>
      </c>
      <c r="B42" s="106" t="s"/>
      <c r="D42" s="106" t="s"/>
      <c r="E42" s="106" t="s"/>
    </row>
    <row r="43" spans="1:5" ht="15" customHeight="1">
      <c r="A43" s="116" t="s">
        <v>178</v>
      </c>
      <c r="B43" s="106" t="s"/>
      <c r="D43" s="106" t="s"/>
      <c r="E43" s="106" t="s"/>
    </row>
    <row r="44" spans="1:5" ht="15" customHeight="1">
      <c r="A44" s="116" t="s">
        <v>179</v>
      </c>
      <c r="B44" s="106" t="s"/>
      <c r="D44" s="106" t="s"/>
      <c r="E44" s="106" t="s"/>
    </row>
    <row r="45" spans="1:5" ht="15" customHeight="1">
      <c r="A45" s="116" t="s">
        <v>180</v>
      </c>
      <c r="B45" s="106" t="s"/>
      <c r="D45" s="106" t="s"/>
      <c r="E45" s="106" t="s"/>
    </row>
    <row r="46" spans="1:5" ht="15" customHeight="1">
      <c r="A46" s="116" t="s">
        <v>181</v>
      </c>
      <c r="B46" s="106" t="s"/>
      <c r="D46" s="106" t="s"/>
      <c r="E46" s="106" t="s"/>
    </row>
    <row r="47" spans="1:5" ht="15" customHeight="1">
      <c r="A47" s="116" t="s">
        <v>182</v>
      </c>
      <c r="B47" s="106" t="s"/>
      <c r="D47" s="106" t="s"/>
      <c r="E47" s="106" t="s"/>
    </row>
    <row r="48" spans="1:5" ht="15" customHeight="1">
      <c r="A48" s="116" t="s">
        <v>183</v>
      </c>
      <c r="B48" s="106" t="s"/>
      <c r="D48" s="106" t="s"/>
      <c r="E48" s="106" t="s"/>
    </row>
    <row r="49" spans="1:5" ht="15" customHeight="1">
      <c r="A49" s="116" t="s">
        <v>184</v>
      </c>
      <c r="B49" s="106" t="s"/>
      <c r="D49" s="106" t="s"/>
      <c r="E49" s="106" t="s"/>
    </row>
    <row r="50" spans="1:5" ht="15" customHeight="1">
      <c r="A50" s="116" t="s">
        <v>185</v>
      </c>
      <c r="B50" s="106" t="s"/>
      <c r="D50" s="106" t="s"/>
      <c r="E50" s="106" t="s"/>
    </row>
  </sheetData>
  <printOptions horizontalCentered="1" verticalCentered="1"/>
  <pageMargins left="0.751389" right="0.751389" top="1" bottom="1" header="0.5" footer="0.5"/>
  <pageSetup paperSize="9" scale="85" orientation="portrait" horizontalDpi="600"/>
  <headerFooter/>
  <legacyDrawing r:id="rId1"/>
</worksheet>
</file>

<file path=xl/worksheets/sheet4.xml><?xml version="1.0" encoding="utf-8"?>
<worksheet xmlns="http://schemas.openxmlformats.org/spreadsheetml/2006/main">
  <sheetPr/>
  <dimension ref="Z43"/>
  <sheetViews>
    <sheetView showGridLines="1" workbookViewId="0"/>
  </sheetViews>
  <sheetFormatPr defaultColWidth="8.89167" defaultRowHeight="13.5"/>
  <cols>
    <col min="1" max="1" width="12.1083" customWidth="1"/>
    <col min="2" max="2" width="22" customWidth="1"/>
    <col min="3" max="3" width="17.4417" customWidth="1"/>
    <col min="4" max="4" width="15.225" customWidth="1"/>
    <col min="5" max="5" width="2.66667" customWidth="1"/>
    <col min="6" max="6" width="14.4417" customWidth="1"/>
    <col min="7" max="7" width="23.225" customWidth="1"/>
    <col min="8" max="8" width="17.4417" customWidth="1"/>
    <col min="9" max="9" width="17.1083" customWidth="1"/>
    <col min="10" max="26" width="8.89167" customWidth="1"/>
  </cols>
  <sheetData>
    <row r="1" spans="1:9" ht="18" customHeight="1">
      <c r="A1" s="120" t="s">
        <v>186</v>
      </c>
      <c r="B1" s="121" t="s">
        <v>101</v>
      </c>
      <c r="C1" s="122" t="s">
        <v>187</v>
      </c>
      <c r="D1" s="123" t="s"/>
      <c r="F1" s="101" t="s">
        <v>186</v>
      </c>
      <c r="G1" s="124" t="s">
        <v>101</v>
      </c>
      <c r="H1" s="125" t="s">
        <v>187</v>
      </c>
      <c r="I1" s="126" t="s"/>
    </row>
    <row r="2" spans="1:9" ht="21" customHeight="1">
      <c r="A2" s="127" t="s"/>
      <c r="B2" s="128" t="s"/>
      <c r="C2" s="124" t="s">
        <v>188</v>
      </c>
      <c r="D2" s="125" t="s">
        <v>189</v>
      </c>
      <c r="F2" s="101" t="s"/>
      <c r="G2" s="124" t="s"/>
      <c r="H2" s="124" t="s">
        <v>188</v>
      </c>
      <c r="I2" s="125" t="s">
        <v>189</v>
      </c>
    </row>
    <row r="3" spans="1:9" ht="16" customHeight="1">
      <c r="A3" s="129" t="s">
        <v>190</v>
      </c>
      <c r="B3" s="130" t="s"/>
      <c r="C3" s="130" t="s"/>
      <c r="D3" s="106" t="s"/>
      <c r="F3" s="129" t="s">
        <v>191</v>
      </c>
      <c r="G3" s="106" t="s"/>
      <c r="H3" s="106" t="s"/>
      <c r="I3" s="106" t="s"/>
    </row>
    <row r="4" spans="1:9" ht="16" customHeight="1">
      <c r="A4" s="131" t="s">
        <v>132</v>
      </c>
      <c r="B4" s="107" t="s"/>
      <c r="C4" s="108" t="s"/>
      <c r="D4" s="109" t="s"/>
      <c r="F4" s="129" t="s">
        <v>15</v>
      </c>
      <c r="G4" s="106" t="s"/>
      <c r="H4" s="106" t="s"/>
      <c r="I4" s="106" t="s"/>
    </row>
    <row r="5" spans="1:9" ht="16" customHeight="1">
      <c r="A5" s="132" t="s">
        <v>139</v>
      </c>
      <c r="B5" s="107" t="s"/>
      <c r="C5" s="108" t="s"/>
      <c r="D5" s="109" t="s"/>
      <c r="F5" s="129" t="s">
        <v>129</v>
      </c>
      <c r="G5" s="106" t="s"/>
      <c r="H5" s="106" t="s"/>
      <c r="I5" s="106" t="s"/>
    </row>
    <row r="6" spans="1:9" ht="16" customHeight="1">
      <c r="A6" s="132" t="s">
        <v>149</v>
      </c>
      <c r="B6" s="107" t="s"/>
      <c r="C6" s="108" t="s"/>
      <c r="D6" s="109" t="s"/>
      <c r="F6" s="129" t="s">
        <v>192</v>
      </c>
      <c r="G6" s="106" t="s"/>
      <c r="H6" s="106" t="s"/>
      <c r="I6" s="106" t="s"/>
    </row>
    <row r="7" spans="1:9" ht="16" customHeight="1">
      <c r="A7" s="129" t="s">
        <v>145</v>
      </c>
      <c r="B7" s="133" t="s"/>
      <c r="C7" s="133" t="s"/>
      <c r="D7" s="106" t="s"/>
      <c r="F7" s="129" t="s">
        <v>93</v>
      </c>
      <c r="G7" s="106" t="s"/>
      <c r="H7" s="106" t="s"/>
      <c r="I7" s="106" t="s"/>
    </row>
    <row r="8" spans="1:9" ht="16" customHeight="1">
      <c r="A8" s="129" t="s">
        <v>193</v>
      </c>
      <c r="B8" s="106" t="s"/>
      <c r="C8" s="106" t="s"/>
      <c r="D8" s="106" t="s"/>
      <c r="F8" s="129" t="s">
        <v>127</v>
      </c>
      <c r="G8" s="106" t="s"/>
      <c r="H8" s="106" t="s"/>
      <c r="I8" s="106" t="s"/>
    </row>
    <row r="9" spans="1:9" ht="16" customHeight="1">
      <c r="A9" s="129" t="s">
        <v>141</v>
      </c>
      <c r="B9" s="106" t="s"/>
      <c r="C9" s="106" t="s"/>
      <c r="D9" s="106" t="s"/>
      <c r="F9" s="129" t="s">
        <v>194</v>
      </c>
      <c r="G9" s="106" t="s"/>
      <c r="H9" s="106" t="s"/>
      <c r="I9" s="106" t="s"/>
    </row>
    <row r="10" spans="1:9" ht="16" customHeight="1">
      <c r="A10" s="129" t="s">
        <v>106</v>
      </c>
      <c r="B10" s="106" t="s"/>
      <c r="C10" s="106" t="s"/>
      <c r="D10" s="106" t="s"/>
      <c r="F10" s="129" t="s">
        <v>195</v>
      </c>
      <c r="G10" s="106" t="s"/>
      <c r="H10" s="106" t="s"/>
      <c r="I10" s="106" t="s"/>
    </row>
    <row r="11" spans="1:9" ht="16" customHeight="1">
      <c r="A11" s="129" t="s">
        <v>196</v>
      </c>
      <c r="B11" s="106" t="s"/>
      <c r="C11" s="106" t="s"/>
      <c r="D11" s="106" t="s"/>
      <c r="F11" s="129" t="s">
        <v>60</v>
      </c>
      <c r="G11" s="106" t="s"/>
      <c r="H11" s="106" t="s"/>
      <c r="I11" s="106" t="s"/>
    </row>
    <row r="12" spans="1:9" ht="16" customHeight="1">
      <c r="A12" s="129" t="s">
        <v>197</v>
      </c>
      <c r="B12" s="106" t="s"/>
      <c r="C12" s="106" t="s"/>
      <c r="D12" s="106" t="s"/>
      <c r="F12" s="129" t="s">
        <v>198</v>
      </c>
      <c r="G12" s="106" t="s"/>
      <c r="H12" s="106" t="s"/>
      <c r="I12" s="106" t="s"/>
    </row>
    <row r="13" spans="1:9" ht="16" customHeight="1">
      <c r="A13" s="129" t="s">
        <v>199</v>
      </c>
      <c r="B13" s="106" t="s"/>
      <c r="C13" s="106" t="s"/>
      <c r="D13" s="106" t="s"/>
      <c r="F13" s="129" t="s">
        <v>200</v>
      </c>
      <c r="G13" s="106" t="s"/>
      <c r="H13" s="106" t="s"/>
      <c r="I13" s="106" t="s"/>
    </row>
    <row r="14" spans="1:9" ht="16" customHeight="1">
      <c r="A14" s="129" t="s">
        <v>201</v>
      </c>
      <c r="B14" s="106" t="s"/>
      <c r="C14" s="106" t="s"/>
      <c r="D14" s="106" t="s"/>
      <c r="F14" s="129" t="s">
        <v>54</v>
      </c>
      <c r="G14" s="106" t="s"/>
      <c r="H14" s="106" t="s"/>
      <c r="I14" s="106" t="s"/>
    </row>
    <row r="15" spans="1:9" ht="16" customHeight="1">
      <c r="A15" s="129" t="s">
        <v>202</v>
      </c>
      <c r="B15" s="106" t="s"/>
      <c r="C15" s="106" t="s"/>
      <c r="D15" s="106" t="s"/>
      <c r="F15" s="129" t="s">
        <v>96</v>
      </c>
      <c r="G15" s="106" t="s"/>
      <c r="H15" s="106" t="s"/>
      <c r="I15" s="106" t="s"/>
    </row>
    <row r="16" spans="1:9" ht="16" customHeight="1">
      <c r="A16" s="129" t="s">
        <v>203</v>
      </c>
      <c r="B16" s="106" t="s"/>
      <c r="C16" s="106" t="s"/>
      <c r="D16" s="106" t="s"/>
      <c r="F16" s="129" t="s">
        <v>204</v>
      </c>
      <c r="G16" s="106" t="s"/>
      <c r="H16" s="106" t="s"/>
      <c r="I16" s="106" t="s"/>
    </row>
    <row r="17" spans="1:9" ht="16" customHeight="1">
      <c r="A17" s="129" t="s">
        <v>205</v>
      </c>
      <c r="B17" s="106" t="s"/>
      <c r="C17" s="106" t="s"/>
      <c r="D17" s="106" t="s"/>
      <c r="F17" s="129" t="s">
        <v>206</v>
      </c>
      <c r="G17" s="106" t="s"/>
      <c r="H17" s="106" t="s"/>
      <c r="I17" s="106" t="s"/>
    </row>
    <row r="18" spans="1:9" ht="16" customHeight="1">
      <c r="A18" s="134" t="s">
        <v>207</v>
      </c>
      <c r="B18" s="106" t="s"/>
      <c r="C18" s="106" t="s"/>
      <c r="D18" s="106" t="s"/>
      <c r="F18" s="129" t="s">
        <v>208</v>
      </c>
      <c r="G18" s="106" t="s"/>
      <c r="H18" s="106" t="s"/>
      <c r="I18" s="106" t="s"/>
    </row>
    <row r="19" spans="1:9" ht="16" customHeight="1">
      <c r="A19" s="129" t="s">
        <v>209</v>
      </c>
      <c r="B19" s="106" t="s"/>
      <c r="C19" s="106" t="s"/>
      <c r="D19" s="106" t="s"/>
      <c r="F19" s="129" t="s">
        <v>84</v>
      </c>
      <c r="G19" s="106" t="s"/>
      <c r="H19" s="106" t="s"/>
      <c r="I19" s="106" t="s"/>
    </row>
    <row r="20" spans="1:9" ht="16" customHeight="1">
      <c r="A20" s="129" t="s">
        <v>210</v>
      </c>
      <c r="B20" s="106" t="s"/>
      <c r="C20" s="106" t="s"/>
      <c r="D20" s="106" t="s"/>
      <c r="F20" s="129" t="s">
        <v>211</v>
      </c>
      <c r="G20" s="106" t="s"/>
      <c r="H20" s="106" t="s"/>
      <c r="I20" s="106" t="s"/>
    </row>
    <row r="21" spans="1:9" ht="16" customHeight="1">
      <c r="A21" s="129" t="s">
        <v>212</v>
      </c>
      <c r="B21" s="106" t="s"/>
      <c r="C21" s="106" t="s"/>
      <c r="D21" s="106" t="s"/>
      <c r="F21" s="129" t="s">
        <v>114</v>
      </c>
      <c r="G21" s="106" t="s"/>
      <c r="H21" s="106" t="s"/>
      <c r="I21" s="106" t="s"/>
    </row>
    <row r="22" spans="1:9" ht="16" customHeight="1">
      <c r="A22" s="129" t="s">
        <v>213</v>
      </c>
      <c r="B22" s="106" t="s"/>
      <c r="C22" s="106" t="s"/>
      <c r="D22" s="106" t="s"/>
      <c r="F22" s="129" t="s">
        <v>214</v>
      </c>
      <c r="G22" s="106" t="s"/>
      <c r="H22" s="106" t="s"/>
      <c r="I22" s="106" t="s"/>
    </row>
    <row r="23" spans="1:9" ht="16" customHeight="1">
      <c r="A23" s="129" t="s">
        <v>215</v>
      </c>
      <c r="B23" s="106" t="s"/>
      <c r="C23" s="106" t="s"/>
      <c r="D23" s="106" t="s"/>
      <c r="F23" s="134" t="s">
        <v>216</v>
      </c>
      <c r="G23" s="106" t="s"/>
      <c r="H23" s="106" t="s"/>
      <c r="I23" s="106" t="s"/>
    </row>
    <row r="24" spans="1:9" ht="16" customHeight="1">
      <c r="A24" s="129" t="s">
        <v>217</v>
      </c>
      <c r="B24" s="106" t="s"/>
      <c r="C24" s="106" t="s"/>
      <c r="D24" s="106" t="s"/>
      <c r="F24" s="129" t="s">
        <v>218</v>
      </c>
      <c r="G24" s="106" t="s"/>
      <c r="H24" s="106" t="s"/>
      <c r="I24" s="106" t="s"/>
    </row>
    <row r="25" spans="1:9" ht="16" customHeight="1">
      <c r="A25" s="129" t="s">
        <v>219</v>
      </c>
      <c r="B25" s="106" t="s"/>
      <c r="C25" s="106" t="s"/>
      <c r="D25" s="106" t="s"/>
      <c r="F25" s="129" t="s">
        <v>220</v>
      </c>
      <c r="G25" s="106" t="s"/>
      <c r="H25" s="106" t="s"/>
      <c r="I25" s="106" t="s"/>
    </row>
    <row r="26" spans="1:9" ht="16" customHeight="1">
      <c r="A26" s="129" t="s">
        <v>89</v>
      </c>
      <c r="B26" s="106" t="s"/>
      <c r="C26" s="106" t="s"/>
      <c r="D26" s="106" t="s"/>
      <c r="F26" s="129" t="s">
        <v>39</v>
      </c>
      <c r="G26" s="106" t="s"/>
      <c r="H26" s="106" t="s"/>
      <c r="I26" s="106" t="s"/>
    </row>
    <row r="27" spans="1:9" ht="16" customHeight="1">
      <c r="A27" s="129" t="s">
        <v>66</v>
      </c>
      <c r="B27" s="106" t="s"/>
      <c r="C27" s="106" t="s"/>
      <c r="D27" s="106" t="s"/>
      <c r="F27" s="129" t="s">
        <v>221</v>
      </c>
      <c r="G27" s="106" t="s"/>
      <c r="H27" s="106" t="s"/>
      <c r="I27" s="106" t="s"/>
    </row>
    <row r="28" spans="1:9" ht="16" customHeight="1">
      <c r="A28" s="129" t="s">
        <v>125</v>
      </c>
      <c r="B28" s="106" t="s"/>
      <c r="C28" s="106" t="s"/>
      <c r="D28" s="106" t="s"/>
      <c r="F28" s="129" t="s">
        <v>222</v>
      </c>
      <c r="G28" s="106" t="s"/>
      <c r="H28" s="106" t="s"/>
      <c r="I28" s="106" t="s"/>
    </row>
    <row r="29" spans="1:9" ht="16" customHeight="1">
      <c r="A29" s="129" t="s">
        <v>223</v>
      </c>
      <c r="B29" s="106" t="s"/>
      <c r="C29" s="106" t="s"/>
      <c r="D29" s="106" t="s"/>
      <c r="F29" s="129" t="s">
        <v>224</v>
      </c>
      <c r="G29" s="106" t="s"/>
      <c r="H29" s="106" t="s"/>
      <c r="I29" s="106" t="s"/>
    </row>
    <row r="30" spans="1:9" ht="16" customHeight="1">
      <c r="A30" s="129" t="s">
        <v>225</v>
      </c>
      <c r="B30" s="106" t="s"/>
      <c r="C30" s="106" t="s"/>
      <c r="D30" s="106" t="s"/>
      <c r="F30" s="134" t="s">
        <v>226</v>
      </c>
      <c r="G30" s="106" t="s"/>
      <c r="H30" s="106" t="s"/>
      <c r="I30" s="106" t="s"/>
    </row>
    <row r="31" spans="1:9" ht="16" customHeight="1">
      <c r="A31" s="129" t="s">
        <v>227</v>
      </c>
      <c r="B31" s="106" t="s"/>
      <c r="C31" s="106" t="s"/>
      <c r="D31" s="106" t="s"/>
      <c r="F31" s="129" t="s">
        <v>228</v>
      </c>
      <c r="G31" s="106" t="s"/>
      <c r="H31" s="106" t="s"/>
      <c r="I31" s="106" t="s"/>
    </row>
    <row r="32" spans="1:9" ht="16" customHeight="1">
      <c r="A32" s="129" t="s">
        <v>229</v>
      </c>
      <c r="B32" s="106" t="s"/>
      <c r="C32" s="106" t="s"/>
      <c r="D32" s="106" t="s"/>
      <c r="F32" s="129" t="s">
        <v>164</v>
      </c>
      <c r="G32" s="106" t="s"/>
      <c r="H32" s="106" t="s"/>
      <c r="I32" s="106" t="s"/>
    </row>
    <row r="33" spans="1:9" ht="16" customHeight="1">
      <c r="A33" s="129" t="s">
        <v>230</v>
      </c>
      <c r="B33" s="106" t="s"/>
      <c r="C33" s="106" t="s"/>
      <c r="D33" s="106" t="s"/>
      <c r="F33" s="129" t="s">
        <v>231</v>
      </c>
      <c r="G33" s="106" t="s"/>
      <c r="H33" s="106" t="s"/>
      <c r="I33" s="106" t="s"/>
    </row>
    <row r="34" spans="1:9" ht="16" customHeight="1">
      <c r="A34" s="129" t="s">
        <v>232</v>
      </c>
      <c r="B34" s="106" t="s"/>
      <c r="C34" s="106" t="s"/>
      <c r="D34" s="106" t="s"/>
      <c r="F34" s="129" t="s">
        <v>233</v>
      </c>
      <c r="G34" s="106" t="s"/>
      <c r="H34" s="106" t="s"/>
      <c r="I34" s="106" t="s"/>
    </row>
    <row r="35" spans="6:9" ht="16" customHeight="1">
      <c r="F35" s="129" t="s">
        <v>234</v>
      </c>
      <c r="G35" s="106" t="s"/>
      <c r="H35" s="106" t="s"/>
      <c r="I35" s="106" t="s"/>
    </row>
    <row r="36" spans="6:9" ht="16" customHeight="1">
      <c r="F36" s="129" t="s">
        <v>235</v>
      </c>
      <c r="G36" s="106" t="s"/>
      <c r="H36" s="106" t="s"/>
      <c r="I36" s="106" t="s"/>
    </row>
    <row r="37" spans="6:9" ht="16" customHeight="1">
      <c r="F37" s="129" t="s">
        <v>236</v>
      </c>
      <c r="G37" s="106" t="s"/>
      <c r="H37" s="106" t="s"/>
      <c r="I37" s="106" t="s"/>
    </row>
    <row r="38" spans="6:9" ht="16" customHeight="1">
      <c r="F38" s="129" t="s">
        <v>237</v>
      </c>
      <c r="G38" s="106" t="s"/>
      <c r="H38" s="106" t="s"/>
      <c r="I38" s="106" t="s"/>
    </row>
    <row r="39" spans="6:9" ht="16" customHeight="1">
      <c r="F39" s="129" t="s">
        <v>238</v>
      </c>
      <c r="G39" s="106" t="s"/>
      <c r="H39" s="106" t="s"/>
      <c r="I39" s="106" t="s"/>
    </row>
    <row r="40" spans="6:9" ht="16" customHeight="1">
      <c r="F40" s="129" t="s">
        <v>239</v>
      </c>
      <c r="G40" s="106" t="s"/>
      <c r="H40" s="106" t="s"/>
      <c r="I40" s="106" t="s"/>
    </row>
    <row r="41" spans="6:9" ht="16" customHeight="1">
      <c r="F41" s="129" t="s">
        <v>240</v>
      </c>
      <c r="G41" s="106" t="s"/>
      <c r="H41" s="106" t="s"/>
      <c r="I41" s="106" t="s"/>
    </row>
    <row r="42" spans="6:9" ht="16" customHeight="1">
      <c r="F42" s="129" t="s">
        <v>241</v>
      </c>
      <c r="G42" s="106" t="s"/>
      <c r="H42" s="106" t="s"/>
      <c r="I42" s="106" t="s"/>
    </row>
    <row r="43" spans="1:26" ht="21" customHeight="1"/>
  </sheetData>
  <mergeCells count="6">
    <mergeCell ref="C1:D1"/>
    <mergeCell ref="H1:I1"/>
    <mergeCell ref="A1:A2"/>
    <mergeCell ref="B1:B2"/>
    <mergeCell ref="F1:F2"/>
    <mergeCell ref="G1:G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>
  <sheetPr>
    <pageSetUpPr fitToPage="1"/>
  </sheetPr>
  <dimension ref="Q29"/>
  <sheetViews>
    <sheetView showGridLines="1" tabSelected="0" zoomScale="85" zoomScaleNormal="85" workbookViewId="0"/>
  </sheetViews>
  <sheetFormatPr defaultColWidth="8.89167" defaultRowHeight="13.5"/>
  <cols>
    <col min="1" max="1" width="5.25" customWidth="1"/>
    <col min="2" max="2" width="11.5" customWidth="1"/>
    <col min="3" max="3" width="15.75" customWidth="1"/>
    <col min="4" max="4" width="8.89167" hidden="1" customWidth="1"/>
    <col min="5" max="5" width="9.125" customWidth="1"/>
    <col min="6" max="6" width="0.516667" hidden="1" customWidth="1"/>
    <col min="7" max="7" width="9.625" customWidth="1"/>
    <col min="8" max="9" width="10.625" customWidth="1"/>
    <col min="10" max="10" width="6.625" hidden="1" customWidth="1"/>
    <col min="11" max="11" width="6.875" hidden="1" customWidth="1"/>
    <col min="12" max="12" width="10.375" hidden="1" customWidth="1"/>
    <col min="13" max="13" width="6.875" hidden="1" customWidth="1"/>
    <col min="14" max="14" width="20.625" style="240" customWidth="1"/>
    <col min="15" max="15" width="20.625" customWidth="1"/>
    <col min="16" max="16" width="21.875" style="243" customWidth="1"/>
    <col min="17" max="17" width="13.925" customWidth="1"/>
  </cols>
  <sheetData>
    <row r="1" spans="1:17" ht="43" customHeight="1">
      <c r="A1" s="135" t="s">
        <v>242</v>
      </c>
      <c r="B1" s="136" t="s"/>
      <c r="C1" s="136" t="s"/>
      <c r="D1" s="136" t="s"/>
      <c r="E1" s="136" t="s"/>
      <c r="F1" s="136" t="s"/>
      <c r="G1" s="136" t="s"/>
      <c r="H1" s="136" t="s"/>
      <c r="I1" s="136" t="s"/>
      <c r="J1" s="136" t="s"/>
      <c r="K1" s="136" t="s"/>
      <c r="L1" s="136" t="s"/>
      <c r="M1" s="136" t="s"/>
      <c r="N1" s="137" t="s"/>
      <c r="O1" s="137" t="s"/>
      <c r="P1" s="137" t="s"/>
      <c r="Q1" s="137" t="s"/>
    </row>
    <row r="2" spans="1:17" ht="50" customHeight="1">
      <c r="A2" s="138" t="s">
        <v>2</v>
      </c>
      <c r="B2" s="138" t="s">
        <v>3</v>
      </c>
      <c r="C2" s="139" t="s">
        <v>4</v>
      </c>
      <c r="D2" s="139" t="s"/>
      <c r="E2" s="139" t="s">
        <v>5</v>
      </c>
      <c r="F2" s="139" t="s"/>
      <c r="G2" s="139" t="s">
        <v>6</v>
      </c>
      <c r="H2" s="139" t="s">
        <v>7</v>
      </c>
      <c r="I2" s="139" t="s">
        <v>243</v>
      </c>
      <c r="J2" s="140" t="s">
        <v>244</v>
      </c>
      <c r="K2" s="141" t="s">
        <v>245</v>
      </c>
      <c r="L2" s="142" t="s">
        <v>246</v>
      </c>
      <c r="M2" s="143" t="s">
        <v>247</v>
      </c>
      <c r="N2" s="139" t="s">
        <v>407</v>
      </c>
      <c r="O2" s="139" t="s">
        <v>9</v>
      </c>
      <c r="P2" s="144" t="s">
        <v>11</v>
      </c>
      <c r="Q2" s="139" t="s">
        <v>12</v>
      </c>
    </row>
    <row r="3" spans="1:17" ht="29" customHeight="1">
      <c r="A3" s="145" t="s">
        <v>248</v>
      </c>
      <c r="B3" s="146" t="s">
        <v>249</v>
      </c>
      <c r="C3" s="146" t="s">
        <v>218</v>
      </c>
      <c r="D3" s="147" t="s"/>
      <c r="E3" s="148" t="s">
        <v>16</v>
      </c>
      <c r="F3" s="149" t="s">
        <v>250</v>
      </c>
      <c r="G3" s="150" t="s">
        <v>251</v>
      </c>
      <c r="H3" s="151" t="s">
        <v>28</v>
      </c>
      <c r="I3" s="152">
        <v>-3060</v>
      </c>
      <c r="J3" s="153" t="s"/>
      <c r="K3" s="153" t="s"/>
      <c r="L3" s="153" t="s"/>
      <c r="M3" s="153" t="s"/>
      <c r="N3" s="154" t="s">
        <v>252</v>
      </c>
      <c r="O3" s="153" t="s"/>
      <c r="P3" s="153" t="s"/>
      <c r="Q3" s="145" t="s">
        <v>21</v>
      </c>
    </row>
    <row r="4" spans="1:17" ht="29" customHeight="1">
      <c r="A4" s="155" t="s"/>
      <c r="B4" s="156" t="s">
        <v>249</v>
      </c>
      <c r="C4" s="156" t="s">
        <v>218</v>
      </c>
      <c r="D4" s="157" t="s"/>
      <c r="E4" s="158" t="s">
        <v>16</v>
      </c>
      <c r="F4" s="159" t="s">
        <v>253</v>
      </c>
      <c r="G4" s="160" t="s">
        <v>254</v>
      </c>
      <c r="H4" s="161" t="s">
        <v>28</v>
      </c>
      <c r="I4" s="152">
        <v>-1410</v>
      </c>
      <c r="J4" s="153" t="s"/>
      <c r="K4" s="153" t="s"/>
      <c r="L4" s="153" t="s"/>
      <c r="M4" s="153" t="s"/>
      <c r="N4" s="154" t="s">
        <v>25</v>
      </c>
      <c r="O4" s="153" t="s"/>
      <c r="P4" s="162" t="s">
        <v>255</v>
      </c>
      <c r="Q4" s="155" t="s"/>
    </row>
    <row r="5" spans="1:17" ht="29" customHeight="1">
      <c r="A5" s="145" t="s">
        <v>256</v>
      </c>
      <c r="B5" s="146" t="s">
        <v>38</v>
      </c>
      <c r="C5" s="146" t="s">
        <v>224</v>
      </c>
      <c r="D5" s="147" t="s"/>
      <c r="E5" s="148" t="s">
        <v>16</v>
      </c>
      <c r="F5" s="163" t="s">
        <v>257</v>
      </c>
      <c r="G5" s="150" t="s">
        <v>44</v>
      </c>
      <c r="H5" s="164" t="s">
        <v>28</v>
      </c>
      <c r="I5" s="152">
        <v>-911</v>
      </c>
      <c r="J5" s="153" t="s"/>
      <c r="K5" s="153" t="s"/>
      <c r="L5" s="153" t="s"/>
      <c r="M5" s="153" t="s"/>
      <c r="N5" s="154" t="s">
        <v>258</v>
      </c>
      <c r="O5" s="153" t="s"/>
      <c r="P5" s="153" t="s"/>
      <c r="Q5" s="145" t="s">
        <v>21</v>
      </c>
    </row>
    <row r="6" spans="1:17" ht="29" customHeight="1">
      <c r="A6" s="155" t="s"/>
      <c r="B6" s="156" t="s">
        <v>259</v>
      </c>
      <c r="C6" s="156" t="s">
        <v>260</v>
      </c>
      <c r="D6" s="157" t="s"/>
      <c r="E6" s="158" t="s">
        <v>97</v>
      </c>
      <c r="F6" s="165" t="s">
        <v>261</v>
      </c>
      <c r="G6" s="160" t="s">
        <v>262</v>
      </c>
      <c r="H6" s="161" t="s">
        <v>28</v>
      </c>
      <c r="I6" s="152">
        <v>-17500</v>
      </c>
      <c r="J6" s="153" t="s"/>
      <c r="K6" s="153" t="s"/>
      <c r="L6" s="153" t="s"/>
      <c r="M6" s="153" t="s"/>
      <c r="N6" s="154" t="s">
        <v>25</v>
      </c>
      <c r="O6" s="153" t="s"/>
      <c r="P6" s="166" t="s">
        <v>263</v>
      </c>
      <c r="Q6" s="155" t="s"/>
    </row>
    <row r="7" spans="1:17" ht="29" customHeight="1">
      <c r="A7" s="145" t="s">
        <v>264</v>
      </c>
      <c r="B7" s="146" t="s">
        <v>249</v>
      </c>
      <c r="C7" s="146" t="s">
        <v>265</v>
      </c>
      <c r="D7" s="147" t="s"/>
      <c r="E7" s="148" t="s">
        <v>266</v>
      </c>
      <c r="F7" s="167" t="s">
        <v>267</v>
      </c>
      <c r="G7" s="168" t="s">
        <v>41</v>
      </c>
      <c r="H7" s="169" t="s">
        <v>268</v>
      </c>
      <c r="I7" s="152">
        <v>-35</v>
      </c>
      <c r="J7" s="153" t="s"/>
      <c r="K7" s="153" t="s"/>
      <c r="L7" s="153" t="s"/>
      <c r="M7" s="153" t="s"/>
      <c r="N7" s="154" t="s">
        <v>269</v>
      </c>
      <c r="O7" s="153" t="s"/>
      <c r="P7" s="153" t="s"/>
      <c r="Q7" s="145" t="s">
        <v>21</v>
      </c>
    </row>
    <row r="8" spans="1:17" ht="29" customHeight="1">
      <c r="A8" s="170" t="s"/>
      <c r="B8" s="156" t="s">
        <v>31</v>
      </c>
      <c r="C8" s="156" t="s">
        <v>233</v>
      </c>
      <c r="D8" s="157" t="s"/>
      <c r="E8" s="158" t="s">
        <v>16</v>
      </c>
      <c r="F8" s="165" t="s">
        <v>270</v>
      </c>
      <c r="G8" s="160" t="s">
        <v>271</v>
      </c>
      <c r="H8" s="171" t="s">
        <v>272</v>
      </c>
      <c r="I8" s="172">
        <v>-2920</v>
      </c>
      <c r="J8" s="153" t="s"/>
      <c r="K8" s="153" t="s"/>
      <c r="L8" s="153" t="s"/>
      <c r="M8" s="153" t="s"/>
      <c r="N8" s="154" t="s">
        <v>25</v>
      </c>
      <c r="O8" s="153" t="s"/>
      <c r="P8" s="153" t="s"/>
      <c r="Q8" s="170" t="s"/>
    </row>
    <row r="9" spans="1:17" ht="29" customHeight="1">
      <c r="A9" s="145" t="s">
        <v>273</v>
      </c>
      <c r="B9" s="146" t="s">
        <v>59</v>
      </c>
      <c r="C9" s="146" t="s">
        <v>274</v>
      </c>
      <c r="D9" s="147" t="s"/>
      <c r="E9" s="148" t="s">
        <v>16</v>
      </c>
      <c r="F9" s="167" t="s">
        <v>275</v>
      </c>
      <c r="G9" s="150" t="s">
        <v>62</v>
      </c>
      <c r="H9" s="169" t="s">
        <v>272</v>
      </c>
      <c r="I9" s="173">
        <v>-21636</v>
      </c>
      <c r="J9" s="153" t="s"/>
      <c r="K9" s="153" t="s"/>
      <c r="L9" s="153" t="s"/>
      <c r="M9" s="153" t="s"/>
      <c r="N9" s="154" t="s">
        <v>25</v>
      </c>
      <c r="O9" s="153" t="s"/>
      <c r="P9" s="153" t="s"/>
      <c r="Q9" s="145" t="s">
        <v>21</v>
      </c>
    </row>
    <row r="10" spans="1:17" ht="29" customHeight="1">
      <c r="A10" s="145" t="s">
        <v>276</v>
      </c>
      <c r="B10" s="146" t="s">
        <v>14</v>
      </c>
      <c r="C10" s="146" t="s">
        <v>84</v>
      </c>
      <c r="D10" s="147" t="s"/>
      <c r="E10" s="148" t="s">
        <v>16</v>
      </c>
      <c r="F10" s="167" t="s">
        <v>277</v>
      </c>
      <c r="G10" s="150" t="s">
        <v>62</v>
      </c>
      <c r="H10" s="169" t="s">
        <v>272</v>
      </c>
      <c r="I10" s="173">
        <v>-5005</v>
      </c>
      <c r="J10" s="153" t="s"/>
      <c r="K10" s="153" t="s"/>
      <c r="L10" s="153" t="s"/>
      <c r="M10" s="153" t="s"/>
      <c r="N10" s="154" t="s">
        <v>25</v>
      </c>
      <c r="O10" s="153" t="s"/>
      <c r="P10" s="153" t="s"/>
      <c r="Q10" s="145" t="s">
        <v>21</v>
      </c>
    </row>
    <row r="11" spans="1:17" ht="29" customHeight="1">
      <c r="A11" s="155" t="s"/>
      <c r="B11" s="174" t="s">
        <v>278</v>
      </c>
      <c r="C11" s="174" t="s">
        <v>84</v>
      </c>
      <c r="D11" s="157" t="s"/>
      <c r="E11" s="175" t="s">
        <v>16</v>
      </c>
      <c r="F11" s="176" t="s"/>
      <c r="G11" s="160" t="s">
        <v>62</v>
      </c>
      <c r="H11" s="177" t="s">
        <v>272</v>
      </c>
      <c r="I11" s="173">
        <v>-31000</v>
      </c>
      <c r="J11" s="153" t="s"/>
      <c r="K11" s="153" t="s"/>
      <c r="L11" s="153" t="s"/>
      <c r="M11" s="153" t="s"/>
      <c r="N11" s="154" t="s">
        <v>25</v>
      </c>
      <c r="O11" s="153" t="s"/>
      <c r="P11" s="153" t="s"/>
      <c r="Q11" s="155" t="s"/>
    </row>
    <row r="12" spans="1:17" ht="29" customHeight="1">
      <c r="A12" s="145" t="s">
        <v>279</v>
      </c>
      <c r="B12" s="146" t="s">
        <v>88</v>
      </c>
      <c r="C12" s="146" t="s">
        <v>219</v>
      </c>
      <c r="D12" s="147" t="s"/>
      <c r="E12" s="148" t="s">
        <v>16</v>
      </c>
      <c r="F12" s="163" t="s">
        <v>280</v>
      </c>
      <c r="G12" s="150" t="s">
        <v>69</v>
      </c>
      <c r="H12" s="169" t="s">
        <v>268</v>
      </c>
      <c r="I12" s="173">
        <v>-154</v>
      </c>
      <c r="J12" s="153" t="s"/>
      <c r="K12" s="153" t="s"/>
      <c r="L12" s="153" t="s"/>
      <c r="M12" s="153" t="s"/>
      <c r="N12" s="154" t="s">
        <v>281</v>
      </c>
      <c r="O12" s="153" t="s"/>
      <c r="P12" s="153" t="s"/>
      <c r="Q12" s="145" t="s">
        <v>21</v>
      </c>
    </row>
    <row r="13" spans="1:17" ht="29" customHeight="1">
      <c r="A13" s="155" t="s"/>
      <c r="B13" s="156" t="s">
        <v>282</v>
      </c>
      <c r="C13" s="156" t="s">
        <v>283</v>
      </c>
      <c r="D13" s="157" t="s"/>
      <c r="E13" s="158" t="s">
        <v>16</v>
      </c>
      <c r="F13" s="178" t="s">
        <v>284</v>
      </c>
      <c r="G13" s="179" t="s">
        <v>285</v>
      </c>
      <c r="H13" s="180" t="s">
        <v>28</v>
      </c>
      <c r="I13" s="181">
        <v>-327640</v>
      </c>
      <c r="J13" s="153" t="s"/>
      <c r="K13" s="153" t="s"/>
      <c r="L13" s="153" t="s"/>
      <c r="M13" s="153" t="s"/>
      <c r="N13" s="154" t="s">
        <v>25</v>
      </c>
      <c r="O13" s="153" t="s"/>
      <c r="P13" s="153" t="s"/>
      <c r="Q13" s="155" t="s"/>
    </row>
    <row r="14" spans="1:17" ht="29" customHeight="1">
      <c r="A14" s="145" t="s">
        <v>286</v>
      </c>
      <c r="B14" s="146" t="s">
        <v>65</v>
      </c>
      <c r="C14" s="146" t="s">
        <v>215</v>
      </c>
      <c r="D14" s="147" t="s"/>
      <c r="E14" s="148" t="s">
        <v>16</v>
      </c>
      <c r="F14" s="163" t="s">
        <v>287</v>
      </c>
      <c r="G14" s="150" t="s">
        <v>288</v>
      </c>
      <c r="H14" s="169" t="s">
        <v>272</v>
      </c>
      <c r="I14" s="182">
        <v>-3450</v>
      </c>
      <c r="J14" s="153" t="s"/>
      <c r="K14" s="153" t="s"/>
      <c r="L14" s="153" t="s"/>
      <c r="M14" s="153" t="s"/>
      <c r="N14" s="154" t="s">
        <v>289</v>
      </c>
      <c r="O14" s="153" t="s"/>
      <c r="P14" s="153" t="s"/>
      <c r="Q14" s="145" t="s">
        <v>21</v>
      </c>
    </row>
    <row r="15" spans="1:17" ht="29" customHeight="1">
      <c r="A15" s="170" t="s"/>
      <c r="B15" s="156" t="s">
        <v>88</v>
      </c>
      <c r="C15" s="156" t="s">
        <v>215</v>
      </c>
      <c r="D15" s="157" t="s"/>
      <c r="E15" s="158" t="s">
        <v>16</v>
      </c>
      <c r="F15" s="165" t="s">
        <v>290</v>
      </c>
      <c r="G15" s="160" t="s">
        <v>69</v>
      </c>
      <c r="H15" s="171" t="s">
        <v>291</v>
      </c>
      <c r="I15" s="173">
        <v>-3000</v>
      </c>
      <c r="J15" s="153" t="s"/>
      <c r="K15" s="153" t="s"/>
      <c r="L15" s="153" t="s"/>
      <c r="M15" s="153" t="s"/>
      <c r="N15" s="154" t="s">
        <v>25</v>
      </c>
      <c r="O15" s="153" t="s"/>
      <c r="P15" s="153" t="s"/>
      <c r="Q15" s="170" t="s"/>
    </row>
    <row r="16" spans="1:17" ht="29" customHeight="1">
      <c r="A16" s="155" t="s"/>
      <c r="B16" s="156" t="s">
        <v>88</v>
      </c>
      <c r="C16" s="156" t="s">
        <v>215</v>
      </c>
      <c r="D16" s="157" t="s"/>
      <c r="E16" s="158" t="s">
        <v>16</v>
      </c>
      <c r="F16" s="165" t="s">
        <v>292</v>
      </c>
      <c r="G16" s="160" t="s">
        <v>293</v>
      </c>
      <c r="H16" s="183" t="s">
        <v>28</v>
      </c>
      <c r="I16" s="173">
        <v>-18500</v>
      </c>
      <c r="J16" s="153" t="s"/>
      <c r="K16" s="153" t="s"/>
      <c r="L16" s="153" t="s"/>
      <c r="M16" s="153" t="s"/>
      <c r="N16" s="154" t="s">
        <v>25</v>
      </c>
      <c r="O16" s="153" t="s"/>
      <c r="P16" s="153" t="s"/>
      <c r="Q16" s="155" t="s"/>
    </row>
    <row r="17" spans="1:17" ht="29" hidden="1" customHeight="1">
      <c r="A17" s="86" t="s">
        <v>294</v>
      </c>
      <c r="B17" s="184" t="s">
        <v>88</v>
      </c>
      <c r="C17" s="184" t="s">
        <v>227</v>
      </c>
      <c r="D17" s="185" t="s"/>
      <c r="E17" s="186" t="s">
        <v>16</v>
      </c>
      <c r="F17" s="187" t="s">
        <v>295</v>
      </c>
      <c r="G17" s="188" t="s">
        <v>69</v>
      </c>
      <c r="H17" s="186" t="s">
        <v>272</v>
      </c>
      <c r="I17" s="181">
        <v>-16552</v>
      </c>
      <c r="J17" s="153" t="s"/>
      <c r="K17" s="153" t="s"/>
      <c r="L17" s="153" t="s"/>
      <c r="M17" s="153" t="s"/>
      <c r="N17" s="154" t="s">
        <v>25</v>
      </c>
      <c r="O17" s="153" t="s"/>
      <c r="P17" s="153" t="s"/>
      <c r="Q17" s="86" t="s">
        <v>21</v>
      </c>
    </row>
    <row r="18" spans="1:17" ht="29" customHeight="1">
      <c r="A18" s="153" t="s">
        <v>408</v>
      </c>
      <c r="B18" s="153" t="s"/>
      <c r="C18" s="153" t="s"/>
      <c r="D18" s="153" t="s"/>
      <c r="E18" s="153" t="s"/>
      <c r="F18" s="153" t="s"/>
      <c r="G18" s="153" t="s"/>
      <c r="H18" s="153" t="s"/>
      <c r="I18" s="153" t="s"/>
      <c r="J18" s="153" t="s"/>
      <c r="K18" s="153" t="s"/>
      <c r="L18" s="153" t="s"/>
      <c r="M18" s="153" t="s"/>
      <c r="N18" s="154" t="s"/>
      <c r="O18" s="153" t="s"/>
      <c r="P18" s="153" t="s"/>
      <c r="Q18" s="153" t="s"/>
    </row>
    <row r="19" spans="16:16">
      <c r="P19" s="189" t="s">
        <v>71</v>
      </c>
    </row>
    <row r="22" spans="8:8" ht="13" customHeight="1">
      <c r="H22" s="190" t="s"/>
    </row>
    <row r="23" spans="14:14">
      <c r="N23" s="57" t="s"/>
    </row>
    <row r="24" spans="15:15">
      <c r="O24" s="190" t="s"/>
    </row>
    <row r="25" spans="9:9">
      <c r="I25" s="57" t="s"/>
    </row>
    <row r="28" spans="14:14">
      <c r="N28" s="191" t="s"/>
    </row>
    <row r="29" spans="15:15">
      <c r="O29" s="99" t="s"/>
    </row>
  </sheetData>
  <mergeCells count="14">
    <mergeCell ref="A1:Q1"/>
    <mergeCell ref="A18:Q18"/>
    <mergeCell ref="A3:A4"/>
    <mergeCell ref="A5:A6"/>
    <mergeCell ref="A7:A8"/>
    <mergeCell ref="A10:A11"/>
    <mergeCell ref="A12:A13"/>
    <mergeCell ref="A14:A16"/>
    <mergeCell ref="Q3:Q4"/>
    <mergeCell ref="Q5:Q6"/>
    <mergeCell ref="Q7:Q8"/>
    <mergeCell ref="Q10:Q11"/>
    <mergeCell ref="Q12:Q13"/>
    <mergeCell ref="Q14:Q16"/>
  </mergeCells>
  <printOptions horizontalCentered="1" verticalCentered="1"/>
  <pageMargins left="0.354167" right="0.0784722" top="0.275" bottom="0.354167" header="0.5" footer="0.10625"/>
  <pageSetup paperSize="9" scale="82" orientation="landscape" horizontalDpi="600"/>
  <headerFooter/>
</worksheet>
</file>

<file path=xl/worksheets/sheet6.xml><?xml version="1.0" encoding="utf-8"?>
<worksheet xmlns="http://schemas.openxmlformats.org/spreadsheetml/2006/main">
  <sheetPr>
    <pageSetUpPr fitToPage="1"/>
  </sheetPr>
  <dimension ref="T27"/>
  <sheetViews>
    <sheetView showGridLines="1" workbookViewId="0"/>
  </sheetViews>
  <sheetFormatPr defaultColWidth="9" defaultRowHeight="13.5"/>
  <cols>
    <col min="1" max="3" width="10.75" customWidth="1"/>
    <col min="4" max="4" width="23.2083" customWidth="1"/>
    <col min="5" max="5" width="13.5083" customWidth="1"/>
    <col min="6" max="6" width="12.8083" customWidth="1"/>
    <col min="7" max="7" width="9" hidden="1" customWidth="1"/>
    <col min="8" max="8" width="11.1" customWidth="1"/>
    <col min="9" max="9" width="42.3167" customWidth="1"/>
    <col min="10" max="10" width="10.5917" customWidth="1"/>
    <col min="11" max="11" width="8.625" customWidth="1"/>
    <col min="12" max="12" width="5.20833" customWidth="1"/>
    <col min="15" max="17" width="9.25"/>
    <col min="18" max="18" width="9" hidden="1" customWidth="1"/>
    <col min="19" max="19" width="22.5" customWidth="1"/>
    <col min="20" max="20" width="29.125" customWidth="1"/>
  </cols>
  <sheetData>
    <row r="1" spans="1:20" ht="75">
      <c r="A1" s="192" t="s">
        <v>296</v>
      </c>
      <c r="B1" s="192" t="s">
        <v>297</v>
      </c>
      <c r="C1" s="193" t="s">
        <v>298</v>
      </c>
      <c r="D1" s="193" t="s">
        <v>299</v>
      </c>
      <c r="E1" s="193" t="s">
        <v>3</v>
      </c>
      <c r="F1" s="193" t="s">
        <v>300</v>
      </c>
      <c r="G1" s="193" t="s"/>
      <c r="H1" s="193" t="s">
        <v>5</v>
      </c>
      <c r="I1" s="194" t="s">
        <v>301</v>
      </c>
      <c r="J1" s="194" t="s">
        <v>302</v>
      </c>
      <c r="K1" s="195" t="s">
        <v>7</v>
      </c>
      <c r="L1" s="196" t="s">
        <v>303</v>
      </c>
      <c r="M1" s="196" t="s">
        <v>303</v>
      </c>
      <c r="N1" s="196" t="s">
        <v>304</v>
      </c>
      <c r="O1" s="197" t="s">
        <v>243</v>
      </c>
      <c r="P1" s="198" t="s">
        <v>305</v>
      </c>
      <c r="Q1" s="199" t="s">
        <v>306</v>
      </c>
      <c r="R1" s="200" t="s">
        <v>246</v>
      </c>
      <c r="S1" s="201" t="s">
        <v>307</v>
      </c>
      <c r="T1" s="201" t="s">
        <v>308</v>
      </c>
    </row>
    <row r="2" spans="1:20" ht="22.5">
      <c r="A2" s="202" t="s">
        <v>256</v>
      </c>
      <c r="B2" s="203">
        <v>45748</v>
      </c>
      <c r="C2" s="204" t="s">
        <v>309</v>
      </c>
      <c r="D2" s="107" t="s">
        <v>310</v>
      </c>
      <c r="E2" s="107" t="s">
        <v>47</v>
      </c>
      <c r="F2" s="107" t="s">
        <v>311</v>
      </c>
      <c r="G2" s="205" t="s"/>
      <c r="H2" s="108" t="s">
        <v>97</v>
      </c>
      <c r="I2" s="109" t="s">
        <v>312</v>
      </c>
      <c r="J2" s="206" t="s">
        <v>50</v>
      </c>
      <c r="K2" s="54" t="s">
        <v>28</v>
      </c>
      <c r="L2" s="207" t="s"/>
      <c r="M2" s="208">
        <v>3200</v>
      </c>
      <c r="N2" s="209" t="s"/>
      <c r="O2" s="209">
        <f>=M2-N2</f>
        <v>3200</v>
      </c>
      <c r="P2" s="210">
        <f>=INT(O2/S2)</f>
        <v>19</v>
      </c>
      <c r="Q2" s="211">
        <f>=O2-(P2*S2)</f>
        <v>8</v>
      </c>
      <c r="R2" s="210">
        <f>=IF(Q2&gt;0,P2+1,IF(P2=O,P2))</f>
        <v>20</v>
      </c>
      <c r="S2" s="210">
        <v>168</v>
      </c>
      <c r="T2" s="106">
        <f>=M2*0.005</f>
        <v>16</v>
      </c>
    </row>
    <row r="3" spans="1:20" ht="27" customHeight="1">
      <c r="A3" s="212" t="s">
        <v>313</v>
      </c>
      <c r="B3" s="203">
        <v>45750</v>
      </c>
      <c r="C3" s="204" t="s">
        <v>314</v>
      </c>
      <c r="D3" s="107" t="s">
        <v>315</v>
      </c>
      <c r="E3" s="107" t="s">
        <v>47</v>
      </c>
      <c r="F3" s="107" t="s">
        <v>39</v>
      </c>
      <c r="G3" s="205" t="s"/>
      <c r="H3" s="108" t="s">
        <v>16</v>
      </c>
      <c r="I3" s="109" t="s">
        <v>316</v>
      </c>
      <c r="J3" s="206" t="s">
        <v>50</v>
      </c>
      <c r="K3" s="54" t="s">
        <v>28</v>
      </c>
      <c r="L3" s="207" t="s"/>
      <c r="M3" s="208">
        <v>2000</v>
      </c>
      <c r="N3" s="213">
        <v>84</v>
      </c>
      <c r="O3" s="209">
        <f>=M3-N3</f>
        <v>1916</v>
      </c>
      <c r="P3" s="210">
        <f>=INT(O3/S3)</f>
        <v>11</v>
      </c>
      <c r="Q3" s="211">
        <f>=O3-(P3*S3)</f>
        <v>68</v>
      </c>
      <c r="R3" s="210">
        <f>=IF(Q3&gt;0,P3+1,IF(P3=O,P3))</f>
        <v>12</v>
      </c>
      <c r="S3" s="210">
        <v>168</v>
      </c>
      <c r="T3" s="106">
        <f>=M3*0.005</f>
        <v>10</v>
      </c>
    </row>
    <row r="4" spans="1:20" ht="27">
      <c r="A4" s="214" t="s"/>
      <c r="B4" s="203">
        <v>45723</v>
      </c>
      <c r="C4" s="204" t="s">
        <v>317</v>
      </c>
      <c r="D4" s="107" t="s">
        <v>318</v>
      </c>
      <c r="E4" s="107" t="s">
        <v>47</v>
      </c>
      <c r="F4" s="107" t="s">
        <v>39</v>
      </c>
      <c r="G4" s="107" t="s"/>
      <c r="H4" s="108" t="s">
        <v>16</v>
      </c>
      <c r="I4" s="109" t="s">
        <v>319</v>
      </c>
      <c r="J4" s="206" t="s">
        <v>50</v>
      </c>
      <c r="K4" s="54" t="s">
        <v>42</v>
      </c>
      <c r="L4" s="207" t="s"/>
      <c r="M4" s="208">
        <v>6400</v>
      </c>
      <c r="N4" s="213">
        <v>3855</v>
      </c>
      <c r="O4" s="209">
        <f>=M4-N4</f>
        <v>2545</v>
      </c>
      <c r="P4" s="210">
        <f>=INT(O4/S4)</f>
        <v>15</v>
      </c>
      <c r="Q4" s="211">
        <f>=O4-(P4*S4)</f>
        <v>25</v>
      </c>
      <c r="R4" s="210">
        <f>=IF(Q4&gt;0,P4+1,IF(P4=O,P4))</f>
        <v>16</v>
      </c>
      <c r="S4" s="210">
        <v>168</v>
      </c>
      <c r="T4" s="106">
        <f>=M4*0.005</f>
        <v>32</v>
      </c>
    </row>
    <row r="5" spans="1:20" ht="27">
      <c r="A5" s="212" t="s">
        <v>320</v>
      </c>
      <c r="B5" s="203">
        <v>45743</v>
      </c>
      <c r="C5" s="204" t="s">
        <v>321</v>
      </c>
      <c r="D5" s="107" t="s">
        <v>322</v>
      </c>
      <c r="E5" s="107" t="s">
        <v>323</v>
      </c>
      <c r="F5" s="107" t="s">
        <v>238</v>
      </c>
      <c r="G5" s="205" t="s"/>
      <c r="H5" s="108" t="s">
        <v>16</v>
      </c>
      <c r="I5" s="109" t="s">
        <v>324</v>
      </c>
      <c r="J5" s="206" t="s">
        <v>325</v>
      </c>
      <c r="K5" s="54" t="s">
        <v>326</v>
      </c>
      <c r="L5" s="207" t="s"/>
      <c r="M5" s="208">
        <v>9900</v>
      </c>
      <c r="N5" s="213">
        <v>720</v>
      </c>
      <c r="O5" s="209">
        <f>=M5-N5</f>
        <v>9180</v>
      </c>
      <c r="P5" s="210">
        <f>=INT(O5/S5)</f>
        <v>191</v>
      </c>
      <c r="Q5" s="211">
        <f>=O5-(P5*S5)</f>
        <v>12</v>
      </c>
      <c r="R5" s="210">
        <f>=IF(Q5&gt;0,P5+1,IF(P5=O,P5))</f>
        <v>192</v>
      </c>
      <c r="S5" s="210">
        <v>48</v>
      </c>
      <c r="T5" s="106">
        <f>=M5*0.005</f>
        <v>49.5</v>
      </c>
    </row>
    <row r="6" spans="1:20" ht="33.75">
      <c r="A6" s="214" t="s"/>
      <c r="B6" s="203">
        <v>45749</v>
      </c>
      <c r="C6" s="204" t="s">
        <v>317</v>
      </c>
      <c r="D6" s="107" t="s">
        <v>327</v>
      </c>
      <c r="E6" s="107" t="s">
        <v>323</v>
      </c>
      <c r="F6" s="107" t="s">
        <v>238</v>
      </c>
      <c r="G6" s="205" t="s"/>
      <c r="H6" s="108" t="s">
        <v>328</v>
      </c>
      <c r="I6" s="109" t="s">
        <v>329</v>
      </c>
      <c r="J6" s="206" t="s">
        <v>325</v>
      </c>
      <c r="K6" s="54" t="s">
        <v>326</v>
      </c>
      <c r="L6" s="207" t="s"/>
      <c r="M6" s="208">
        <v>2000</v>
      </c>
      <c r="N6" s="213" t="s"/>
      <c r="O6" s="209">
        <f>=M6-N6</f>
        <v>2000</v>
      </c>
      <c r="P6" s="210">
        <f>=INT(O6/S6)</f>
        <v>41</v>
      </c>
      <c r="Q6" s="211">
        <f>=O6-(P6*S6)</f>
        <v>32</v>
      </c>
      <c r="R6" s="210">
        <f>=IF(Q6&gt;0,P6+1,IF(P6=O,P6))</f>
        <v>42</v>
      </c>
      <c r="S6" s="210">
        <v>48</v>
      </c>
      <c r="T6" s="106">
        <f>=M6*0.005</f>
        <v>10</v>
      </c>
    </row>
    <row r="7" spans="1:20" ht="27">
      <c r="A7" s="202" t="s">
        <v>330</v>
      </c>
      <c r="B7" s="203">
        <v>45670</v>
      </c>
      <c r="C7" s="204" t="s">
        <v>317</v>
      </c>
      <c r="D7" s="107" t="s">
        <v>331</v>
      </c>
      <c r="E7" s="107" t="s">
        <v>14</v>
      </c>
      <c r="F7" s="107" t="s">
        <v>192</v>
      </c>
      <c r="G7" s="107" t="s"/>
      <c r="H7" s="108" t="s">
        <v>16</v>
      </c>
      <c r="I7" s="215" t="s">
        <v>332</v>
      </c>
      <c r="J7" s="216" t="s">
        <v>24</v>
      </c>
      <c r="K7" s="54" t="s">
        <v>333</v>
      </c>
      <c r="L7" s="207" t="s"/>
      <c r="M7" s="208">
        <v>1000000</v>
      </c>
      <c r="N7" s="213">
        <v>919739</v>
      </c>
      <c r="O7" s="209">
        <f>=M7-N7</f>
        <v>80261</v>
      </c>
      <c r="P7" s="210">
        <f>=INT(O7/S7)</f>
        <v>136</v>
      </c>
      <c r="Q7" s="211">
        <f>=O7-(P7*S7)</f>
        <v>293</v>
      </c>
      <c r="R7" s="210">
        <f>=IF(Q7&gt;0,P7+1,IF(P7=O,P7))</f>
        <v>137</v>
      </c>
      <c r="S7" s="210">
        <v>588</v>
      </c>
      <c r="T7" s="106">
        <f>=M7*0.005</f>
        <v>5000</v>
      </c>
    </row>
    <row r="8" spans="1:20" ht="22.5">
      <c r="A8" s="202" t="s">
        <v>334</v>
      </c>
      <c r="B8" s="203">
        <v>45762</v>
      </c>
      <c r="C8" s="204" t="s">
        <v>335</v>
      </c>
      <c r="D8" s="107" t="s">
        <v>336</v>
      </c>
      <c r="E8" s="107" t="s">
        <v>59</v>
      </c>
      <c r="F8" s="107" t="s">
        <v>337</v>
      </c>
      <c r="G8" s="205" t="s"/>
      <c r="H8" s="108" t="s">
        <v>16</v>
      </c>
      <c r="I8" s="109" t="s">
        <v>338</v>
      </c>
      <c r="J8" s="206" t="s">
        <v>62</v>
      </c>
      <c r="K8" s="54" t="s">
        <v>28</v>
      </c>
      <c r="L8" s="207" t="s"/>
      <c r="M8" s="208">
        <v>69774</v>
      </c>
      <c r="N8" s="213">
        <v>28252</v>
      </c>
      <c r="O8" s="209">
        <f>=M8-N8</f>
        <v>41522</v>
      </c>
      <c r="P8" s="210">
        <f>=INT(O8/S8)</f>
        <v>74</v>
      </c>
      <c r="Q8" s="211">
        <f>=O8-(P8*S8)</f>
        <v>82</v>
      </c>
      <c r="R8" s="210">
        <f>=IF(Q8&gt;0,P8+1,IF(P8=O,P8))</f>
        <v>75</v>
      </c>
      <c r="S8" s="210">
        <v>560</v>
      </c>
      <c r="T8" s="106">
        <f>=M8*0.005</f>
        <v>348.87</v>
      </c>
    </row>
    <row r="9" spans="1:20" ht="33.75">
      <c r="A9" s="202" t="s">
        <v>339</v>
      </c>
      <c r="B9" s="203">
        <v>45757</v>
      </c>
      <c r="C9" s="204" t="s">
        <v>340</v>
      </c>
      <c r="D9" s="107" t="s">
        <v>341</v>
      </c>
      <c r="E9" s="107" t="s">
        <v>59</v>
      </c>
      <c r="F9" s="107" t="s">
        <v>342</v>
      </c>
      <c r="G9" s="205" t="s"/>
      <c r="H9" s="108" t="s">
        <v>16</v>
      </c>
      <c r="I9" s="109" t="s">
        <v>343</v>
      </c>
      <c r="J9" s="206" t="s">
        <v>62</v>
      </c>
      <c r="K9" s="54" t="s">
        <v>344</v>
      </c>
      <c r="L9" s="207" t="s"/>
      <c r="M9" s="208">
        <v>10404</v>
      </c>
      <c r="N9" s="213">
        <v>4116</v>
      </c>
      <c r="O9" s="209">
        <f>=M9-N9</f>
        <v>6288</v>
      </c>
      <c r="P9" s="210">
        <f>=INT(O9/S9)</f>
        <v>10</v>
      </c>
      <c r="Q9" s="211">
        <f>=O9-(P9*S9)</f>
        <v>408</v>
      </c>
      <c r="R9" s="210">
        <f>=IF(Q9&gt;0,P9+1,IF(P9=O,P9))</f>
        <v>11</v>
      </c>
      <c r="S9" s="210">
        <v>588</v>
      </c>
      <c r="T9" s="106">
        <f>=M9*0.005</f>
        <v>52.02</v>
      </c>
    </row>
    <row r="10" spans="1:20" ht="20.25">
      <c r="A10" s="202" t="s">
        <v>345</v>
      </c>
      <c r="B10" s="217">
        <v>45768</v>
      </c>
      <c r="C10" s="218" t="s">
        <v>346</v>
      </c>
      <c r="D10" s="219" t="s">
        <v>347</v>
      </c>
      <c r="E10" s="219" t="s">
        <v>14</v>
      </c>
      <c r="F10" s="219" t="s">
        <v>348</v>
      </c>
      <c r="G10" s="220" t="s"/>
      <c r="H10" s="221" t="s">
        <v>16</v>
      </c>
      <c r="I10" s="222" t="s">
        <v>349</v>
      </c>
      <c r="J10" s="44" t="s">
        <v>24</v>
      </c>
      <c r="K10" s="45" t="s">
        <v>409</v>
      </c>
      <c r="L10" s="223" t="s"/>
      <c r="M10" s="224">
        <v>50000</v>
      </c>
      <c r="N10" s="213" t="s"/>
      <c r="O10" s="209">
        <f>=M10-N10</f>
        <v>50000</v>
      </c>
      <c r="P10" s="210">
        <f>=INT(O10/S10)</f>
        <v>85</v>
      </c>
      <c r="Q10" s="211">
        <f>=O10-(P10*S10)</f>
        <v>20</v>
      </c>
      <c r="R10" s="210">
        <f>=IF(Q10&gt;0,P10+1,IF(P10=O,P10))</f>
        <v>86</v>
      </c>
      <c r="S10" s="210">
        <v>588</v>
      </c>
      <c r="T10" s="106">
        <f>=M10*0.005</f>
        <v>250</v>
      </c>
    </row>
    <row r="11" spans="1:20" ht="27">
      <c r="A11" s="212" t="s">
        <v>273</v>
      </c>
      <c r="B11" s="217">
        <v>45764</v>
      </c>
      <c r="C11" s="218" t="s">
        <v>350</v>
      </c>
      <c r="D11" s="219" t="s">
        <v>351</v>
      </c>
      <c r="E11" s="219" t="s">
        <v>14</v>
      </c>
      <c r="F11" s="219" t="s">
        <v>191</v>
      </c>
      <c r="G11" s="220" t="s"/>
      <c r="H11" s="221" t="s">
        <v>16</v>
      </c>
      <c r="I11" s="222" t="s">
        <v>352</v>
      </c>
      <c r="J11" s="44" t="s">
        <v>62</v>
      </c>
      <c r="K11" s="45" t="s">
        <v>333</v>
      </c>
      <c r="L11" s="223" t="s"/>
      <c r="M11" s="224">
        <v>16180</v>
      </c>
      <c r="N11" s="213">
        <v>14140</v>
      </c>
      <c r="O11" s="209">
        <f>=M11-N11</f>
        <v>2040</v>
      </c>
      <c r="P11" s="210">
        <f>=INT(O11/S11)</f>
        <v>3</v>
      </c>
      <c r="Q11" s="211">
        <f>=O11-(P11*S11)</f>
        <v>360</v>
      </c>
      <c r="R11" s="210">
        <f>=IF(Q11&gt;0,P11+1,IF(P11=O,P11))</f>
        <v>4</v>
      </c>
      <c r="S11" s="210">
        <v>560</v>
      </c>
      <c r="T11" s="106">
        <f>=M11*0.005</f>
        <v>80.9</v>
      </c>
    </row>
    <row r="12" spans="1:20" ht="27">
      <c r="A12" s="214" t="s"/>
      <c r="B12" s="203">
        <v>45754</v>
      </c>
      <c r="C12" s="204" t="s">
        <v>353</v>
      </c>
      <c r="D12" s="107" t="s">
        <v>354</v>
      </c>
      <c r="E12" s="107" t="s">
        <v>14</v>
      </c>
      <c r="F12" s="107" t="s">
        <v>191</v>
      </c>
      <c r="G12" s="205" t="s"/>
      <c r="H12" s="108" t="s">
        <v>16</v>
      </c>
      <c r="I12" s="109" t="s">
        <v>355</v>
      </c>
      <c r="J12" s="206" t="s">
        <v>410</v>
      </c>
      <c r="K12" s="54" t="s">
        <v>35</v>
      </c>
      <c r="L12" s="207" t="s"/>
      <c r="M12" s="208">
        <v>12030</v>
      </c>
      <c r="N12" s="213" t="s"/>
      <c r="O12" s="209">
        <f>=M12-N12</f>
        <v>12030</v>
      </c>
      <c r="P12" s="210">
        <f>=INT(O12/S12)</f>
        <v>21</v>
      </c>
      <c r="Q12" s="211">
        <f>=O12-(P12*S12)</f>
        <v>270</v>
      </c>
      <c r="R12" s="210">
        <f>=IF(Q12&gt;0,P12+1,IF(P12=O,P12))</f>
        <v>22</v>
      </c>
      <c r="S12" s="210">
        <v>560</v>
      </c>
      <c r="T12" s="106">
        <f>=M12*0.005</f>
        <v>60.15</v>
      </c>
    </row>
    <row r="13" spans="1:20" ht="27">
      <c r="A13" s="202" t="s">
        <v>356</v>
      </c>
      <c r="B13" s="203">
        <v>45750</v>
      </c>
      <c r="C13" s="204" t="s">
        <v>321</v>
      </c>
      <c r="D13" s="107" t="s">
        <v>357</v>
      </c>
      <c r="E13" s="107" t="s">
        <v>14</v>
      </c>
      <c r="F13" s="107" t="s">
        <v>192</v>
      </c>
      <c r="G13" s="205" t="s"/>
      <c r="H13" s="108" t="s">
        <v>358</v>
      </c>
      <c r="I13" s="109" t="s">
        <v>359</v>
      </c>
      <c r="J13" s="206" t="s">
        <v>24</v>
      </c>
      <c r="K13" s="54" t="s">
        <v>42</v>
      </c>
      <c r="L13" s="207" t="s"/>
      <c r="M13" s="208">
        <v>9000</v>
      </c>
      <c r="N13" s="213" t="s"/>
      <c r="O13" s="209">
        <f>=M13-N13</f>
        <v>9000</v>
      </c>
      <c r="P13" s="210">
        <f>=INT(O13/S13)</f>
        <v>15</v>
      </c>
      <c r="Q13" s="211">
        <f>=O13-(P13*S13)</f>
        <v>180</v>
      </c>
      <c r="R13" s="210">
        <f>=IF(Q13&gt;0,P13+1,IF(P13=O,P13))</f>
        <v>16</v>
      </c>
      <c r="S13" s="210">
        <v>588</v>
      </c>
      <c r="T13" s="106">
        <f>=M13*0.005</f>
        <v>45</v>
      </c>
    </row>
    <row r="14" spans="1:20" ht="22.5">
      <c r="A14" s="225" t="s">
        <v>294</v>
      </c>
      <c r="B14" s="217">
        <v>45768</v>
      </c>
      <c r="C14" s="218" t="s">
        <v>360</v>
      </c>
      <c r="D14" s="219" t="s">
        <v>361</v>
      </c>
      <c r="E14" s="219" t="s">
        <v>59</v>
      </c>
      <c r="F14" s="219" t="s">
        <v>362</v>
      </c>
      <c r="G14" s="220" t="s"/>
      <c r="H14" s="221" t="s">
        <v>16</v>
      </c>
      <c r="I14" s="222" t="s">
        <v>363</v>
      </c>
      <c r="J14" s="44" t="s">
        <v>62</v>
      </c>
      <c r="K14" s="45" t="s">
        <v>409</v>
      </c>
      <c r="L14" s="223" t="s"/>
      <c r="M14" s="224">
        <v>5000</v>
      </c>
      <c r="N14" s="213">
        <v>2058</v>
      </c>
      <c r="O14" s="209">
        <f>=M14-N14</f>
        <v>2942</v>
      </c>
      <c r="P14" s="210">
        <f>=INT(O14/S14)</f>
        <v>5</v>
      </c>
      <c r="Q14" s="211">
        <f>=O14-(P14*S14)</f>
        <v>2</v>
      </c>
      <c r="R14" s="210">
        <f>=IF(Q14&gt;0,P14+1,IF(P14=O,P14))</f>
        <v>6</v>
      </c>
      <c r="S14" s="210">
        <v>588</v>
      </c>
      <c r="T14" s="106">
        <f>=M14*0.005</f>
        <v>25</v>
      </c>
    </row>
    <row r="15" spans="1:20" ht="33.75">
      <c r="A15" s="226" t="s"/>
      <c r="B15" s="217">
        <v>45765</v>
      </c>
      <c r="C15" s="218" t="s">
        <v>364</v>
      </c>
      <c r="D15" s="219" t="s">
        <v>365</v>
      </c>
      <c r="E15" s="219" t="s">
        <v>59</v>
      </c>
      <c r="F15" s="219" t="s">
        <v>362</v>
      </c>
      <c r="G15" s="220" t="s"/>
      <c r="H15" s="221" t="s">
        <v>16</v>
      </c>
      <c r="I15" s="222" t="s">
        <v>366</v>
      </c>
      <c r="J15" s="44" t="s">
        <v>62</v>
      </c>
      <c r="K15" s="45" t="s">
        <v>28</v>
      </c>
      <c r="L15" s="223" t="s"/>
      <c r="M15" s="224">
        <v>4003</v>
      </c>
      <c r="N15" s="213" t="s"/>
      <c r="O15" s="209">
        <f>=M15-N15</f>
        <v>4003</v>
      </c>
      <c r="P15" s="210">
        <f>=INT(O15/S15)</f>
        <v>6</v>
      </c>
      <c r="Q15" s="211">
        <f>=O15-(P15*S15)</f>
        <v>475</v>
      </c>
      <c r="R15" s="210">
        <f>=IF(Q15&gt;0,P15+1,IF(P15=O,P15))</f>
        <v>7</v>
      </c>
      <c r="S15" s="210">
        <v>588</v>
      </c>
      <c r="T15" s="106">
        <f>=M15*0.005</f>
        <v>20.015</v>
      </c>
    </row>
    <row r="16" spans="1:20" ht="22.5">
      <c r="A16" s="226" t="s"/>
      <c r="B16" s="227">
        <v>45769</v>
      </c>
      <c r="C16" s="218" t="s">
        <v>360</v>
      </c>
      <c r="D16" s="219" t="s">
        <v>367</v>
      </c>
      <c r="E16" s="219" t="s">
        <v>59</v>
      </c>
      <c r="F16" s="219" t="s">
        <v>362</v>
      </c>
      <c r="G16" s="220" t="s"/>
      <c r="H16" s="228" t="s">
        <v>16</v>
      </c>
      <c r="I16" s="222" t="s">
        <v>368</v>
      </c>
      <c r="J16" s="44" t="s">
        <v>62</v>
      </c>
      <c r="K16" s="45" t="s">
        <v>409</v>
      </c>
      <c r="L16" s="44" t="s"/>
      <c r="M16" s="224">
        <v>3000</v>
      </c>
      <c r="N16" s="213" t="s"/>
      <c r="O16" s="209">
        <f>=M16-N16</f>
        <v>3000</v>
      </c>
      <c r="P16" s="210">
        <f>=INT(O16/S16)</f>
        <v>5</v>
      </c>
      <c r="Q16" s="211">
        <f>=O16-(P16*S16)</f>
        <v>60</v>
      </c>
      <c r="R16" s="210">
        <f>=IF(Q16&gt;0,P16+1,IF(P16=O,P16))</f>
        <v>6</v>
      </c>
      <c r="S16" s="210">
        <v>588</v>
      </c>
      <c r="T16" s="106">
        <f>=M16*0.005</f>
        <v>15</v>
      </c>
    </row>
    <row r="17" spans="1:20" ht="22.5">
      <c r="A17" s="226" t="s"/>
      <c r="B17" s="227">
        <v>45769</v>
      </c>
      <c r="C17" s="218" t="s">
        <v>360</v>
      </c>
      <c r="D17" s="219" t="s">
        <v>367</v>
      </c>
      <c r="E17" s="219" t="s">
        <v>59</v>
      </c>
      <c r="F17" s="219" t="s">
        <v>362</v>
      </c>
      <c r="G17" s="220" t="s"/>
      <c r="H17" s="221" t="s">
        <v>16</v>
      </c>
      <c r="I17" s="222" t="s">
        <v>369</v>
      </c>
      <c r="J17" s="44" t="s">
        <v>62</v>
      </c>
      <c r="K17" s="45" t="s">
        <v>409</v>
      </c>
      <c r="L17" s="223" t="s"/>
      <c r="M17" s="224">
        <v>2000</v>
      </c>
      <c r="N17" s="213" t="s"/>
      <c r="O17" s="209">
        <f>=M17-N17</f>
        <v>2000</v>
      </c>
      <c r="P17" s="210">
        <f>=INT(O17/S17)</f>
        <v>3</v>
      </c>
      <c r="Q17" s="211">
        <f>=O17-(P17*S17)</f>
        <v>236</v>
      </c>
      <c r="R17" s="210">
        <f>=IF(Q17&gt;0,P17+1,IF(P17=O,P17))</f>
        <v>4</v>
      </c>
      <c r="S17" s="210">
        <v>588</v>
      </c>
      <c r="T17" s="106">
        <f>=M17*0.005</f>
        <v>10</v>
      </c>
    </row>
    <row r="18" spans="1:20" ht="22.5">
      <c r="A18" s="229" t="s"/>
      <c r="B18" s="227">
        <v>45769</v>
      </c>
      <c r="C18" s="218" t="s">
        <v>360</v>
      </c>
      <c r="D18" s="219" t="s">
        <v>367</v>
      </c>
      <c r="E18" s="219" t="s">
        <v>59</v>
      </c>
      <c r="F18" s="219" t="s">
        <v>362</v>
      </c>
      <c r="G18" s="220" t="s"/>
      <c r="H18" s="221" t="s">
        <v>16</v>
      </c>
      <c r="I18" s="222" t="s">
        <v>370</v>
      </c>
      <c r="J18" s="44" t="s">
        <v>62</v>
      </c>
      <c r="K18" s="45" t="s">
        <v>409</v>
      </c>
      <c r="L18" s="223" t="s"/>
      <c r="M18" s="224">
        <v>1000</v>
      </c>
      <c r="N18" s="213" t="s"/>
      <c r="O18" s="209">
        <f>=M18-N18</f>
        <v>1000</v>
      </c>
      <c r="P18" s="210">
        <f>=INT(O18/S18)</f>
        <v>1</v>
      </c>
      <c r="Q18" s="211">
        <f>=O18-(P18*S18)</f>
        <v>412</v>
      </c>
      <c r="R18" s="210">
        <f>=IF(Q18&gt;0,P18+1,IF(P18=O,P18))</f>
        <v>2</v>
      </c>
      <c r="S18" s="210">
        <v>588</v>
      </c>
      <c r="T18" s="106">
        <f>=M18*0.005</f>
        <v>5</v>
      </c>
    </row>
    <row r="19" spans="1:20" ht="33.75">
      <c r="A19" s="202" t="s">
        <v>371</v>
      </c>
      <c r="B19" s="203">
        <v>45747</v>
      </c>
      <c r="C19" s="230" t="s">
        <v>317</v>
      </c>
      <c r="D19" s="108" t="s">
        <v>372</v>
      </c>
      <c r="E19" s="108" t="s">
        <v>14</v>
      </c>
      <c r="F19" s="108" t="s">
        <v>54</v>
      </c>
      <c r="G19" s="231" t="s"/>
      <c r="H19" s="108" t="s">
        <v>16</v>
      </c>
      <c r="I19" s="232" t="s">
        <v>373</v>
      </c>
      <c r="J19" s="206" t="s">
        <v>24</v>
      </c>
      <c r="K19" s="54" t="s">
        <v>28</v>
      </c>
      <c r="L19" s="207" t="s"/>
      <c r="M19" s="233">
        <v>259200</v>
      </c>
      <c r="N19" s="213">
        <v>101620</v>
      </c>
      <c r="O19" s="209">
        <f>=M19-N19</f>
        <v>157580</v>
      </c>
      <c r="P19" s="210">
        <f>=INT(O19/S19)</f>
        <v>281</v>
      </c>
      <c r="Q19" s="211">
        <f>=O19-(P19*S19)</f>
        <v>220</v>
      </c>
      <c r="R19" s="210">
        <f>=IF(Q19&gt;0,P19+1,IF(P19=O,P19))</f>
        <v>282</v>
      </c>
      <c r="S19" s="210">
        <v>560</v>
      </c>
      <c r="T19" s="106">
        <f>=M19*0.005</f>
        <v>1296</v>
      </c>
    </row>
    <row r="20" spans="1:20" ht="22.5">
      <c r="A20" s="212" t="s">
        <v>374</v>
      </c>
      <c r="B20" s="203">
        <v>45762</v>
      </c>
      <c r="C20" s="230" t="s">
        <v>375</v>
      </c>
      <c r="D20" s="108" t="s">
        <v>376</v>
      </c>
      <c r="E20" s="108" t="s">
        <v>377</v>
      </c>
      <c r="F20" s="108" t="s">
        <v>209</v>
      </c>
      <c r="G20" s="231" t="s"/>
      <c r="H20" s="108" t="s">
        <v>16</v>
      </c>
      <c r="I20" s="232" t="s">
        <v>378</v>
      </c>
      <c r="J20" s="206" t="s">
        <v>379</v>
      </c>
      <c r="K20" s="54" t="s">
        <v>28</v>
      </c>
      <c r="L20" s="207" t="s"/>
      <c r="M20" s="233">
        <v>8030</v>
      </c>
      <c r="N20" s="213">
        <v>1304</v>
      </c>
      <c r="O20" s="209">
        <f>=M20-N20</f>
        <v>6726</v>
      </c>
      <c r="P20" s="210">
        <f>=INT(O20/S20)</f>
        <v>2</v>
      </c>
      <c r="Q20" s="211">
        <f>=O20-(P20*S20)</f>
        <v>2162</v>
      </c>
      <c r="R20" s="210">
        <f>=IF(Q20&gt;0,P20+1,IF(P20=O,P20))</f>
        <v>3</v>
      </c>
      <c r="S20" s="210">
        <v>2282</v>
      </c>
      <c r="T20" s="106">
        <f>=M20*0.005</f>
        <v>40.15</v>
      </c>
    </row>
    <row r="21" spans="1:20" ht="27">
      <c r="A21" s="214" t="s"/>
      <c r="B21" s="217">
        <v>45765</v>
      </c>
      <c r="C21" s="234" t="s">
        <v>317</v>
      </c>
      <c r="D21" s="221" t="s">
        <v>380</v>
      </c>
      <c r="E21" s="221" t="s">
        <v>377</v>
      </c>
      <c r="F21" s="221" t="s">
        <v>202</v>
      </c>
      <c r="G21" s="228" t="s"/>
      <c r="H21" s="221" t="s">
        <v>16</v>
      </c>
      <c r="I21" s="235" t="s">
        <v>381</v>
      </c>
      <c r="J21" s="44" t="s">
        <v>379</v>
      </c>
      <c r="K21" s="45" t="s">
        <v>42</v>
      </c>
      <c r="L21" s="223" t="s"/>
      <c r="M21" s="236">
        <v>10000</v>
      </c>
      <c r="N21" s="213" t="s"/>
      <c r="O21" s="209">
        <f>=M21-N21</f>
        <v>10000</v>
      </c>
      <c r="P21" s="210">
        <f>=INT(O21/S21)</f>
        <v>4</v>
      </c>
      <c r="Q21" s="211">
        <f>=O21-(P21*S21)</f>
        <v>1600</v>
      </c>
      <c r="R21" s="210">
        <f>=IF(Q21&gt;0,P21+1,IF(P21=O,P21))</f>
        <v>5</v>
      </c>
      <c r="S21" s="210">
        <v>2100</v>
      </c>
      <c r="T21" s="106">
        <f>=M21*0.005</f>
        <v>50</v>
      </c>
    </row>
    <row r="22" spans="1:20" ht="27">
      <c r="A22" s="225" t="s">
        <v>279</v>
      </c>
      <c r="B22" s="203">
        <v>45749</v>
      </c>
      <c r="C22" s="230" t="s">
        <v>382</v>
      </c>
      <c r="D22" s="108" t="s">
        <v>383</v>
      </c>
      <c r="E22" s="108" t="s">
        <v>384</v>
      </c>
      <c r="F22" s="108" t="s">
        <v>197</v>
      </c>
      <c r="G22" s="231" t="s"/>
      <c r="H22" s="108" t="s">
        <v>16</v>
      </c>
      <c r="I22" s="232" t="s">
        <v>385</v>
      </c>
      <c r="J22" s="206" t="s">
        <v>379</v>
      </c>
      <c r="K22" s="54" t="s">
        <v>42</v>
      </c>
      <c r="L22" s="207" t="s"/>
      <c r="M22" s="233">
        <v>15500</v>
      </c>
      <c r="N22" s="213">
        <v>8096</v>
      </c>
      <c r="O22" s="209">
        <f>=M22-N22</f>
        <v>7404</v>
      </c>
      <c r="P22" s="210">
        <f>=INT(O22/S22)</f>
        <v>3</v>
      </c>
      <c r="Q22" s="211">
        <f>=O22-(P22*S22)</f>
        <v>12</v>
      </c>
      <c r="R22" s="210">
        <f>=IF(Q22&gt;0,P22+1,IF(P22=O,P22))</f>
        <v>4</v>
      </c>
      <c r="S22" s="210">
        <v>2464</v>
      </c>
      <c r="T22" s="106">
        <f>=M22*0.005</f>
        <v>77.5</v>
      </c>
    </row>
    <row r="23" spans="1:20" ht="27">
      <c r="A23" s="226" t="s"/>
      <c r="B23" s="217">
        <v>45768</v>
      </c>
      <c r="C23" s="234" t="s">
        <v>386</v>
      </c>
      <c r="D23" s="221" t="s">
        <v>387</v>
      </c>
      <c r="E23" s="221" t="s">
        <v>384</v>
      </c>
      <c r="F23" s="221" t="s">
        <v>197</v>
      </c>
      <c r="G23" s="228" t="s"/>
      <c r="H23" s="221" t="s">
        <v>16</v>
      </c>
      <c r="I23" s="235" t="s">
        <v>388</v>
      </c>
      <c r="J23" s="44" t="s">
        <v>389</v>
      </c>
      <c r="K23" s="45" t="s">
        <v>333</v>
      </c>
      <c r="L23" s="223" t="s"/>
      <c r="M23" s="236">
        <v>4050</v>
      </c>
      <c r="N23" s="213" t="s"/>
      <c r="O23" s="209">
        <f>=M23-N23</f>
        <v>4050</v>
      </c>
      <c r="P23" s="210">
        <f>=INT(O23/S23)</f>
        <v>1</v>
      </c>
      <c r="Q23" s="211">
        <f>=O23-(P23*S23)</f>
        <v>1586</v>
      </c>
      <c r="R23" s="210">
        <f>=IF(Q23&gt;0,P23+1,IF(P23=O,P23))</f>
        <v>2</v>
      </c>
      <c r="S23" s="210">
        <v>2464</v>
      </c>
      <c r="T23" s="106">
        <f>=M23*0.005</f>
        <v>20.25</v>
      </c>
    </row>
    <row r="24" spans="1:20" ht="27">
      <c r="A24" s="229" t="s"/>
      <c r="B24" s="217">
        <v>45768</v>
      </c>
      <c r="C24" s="234" t="s">
        <v>390</v>
      </c>
      <c r="D24" s="221" t="s">
        <v>391</v>
      </c>
      <c r="E24" s="221" t="s">
        <v>384</v>
      </c>
      <c r="F24" s="221" t="s">
        <v>197</v>
      </c>
      <c r="G24" s="228" t="s"/>
      <c r="H24" s="221" t="s">
        <v>16</v>
      </c>
      <c r="I24" s="235" t="s">
        <v>392</v>
      </c>
      <c r="J24" s="44" t="s">
        <v>389</v>
      </c>
      <c r="K24" s="45" t="s">
        <v>333</v>
      </c>
      <c r="L24" s="223" t="s"/>
      <c r="M24" s="236">
        <v>5000</v>
      </c>
      <c r="N24" s="213" t="s"/>
      <c r="O24" s="209">
        <f>=M24-N24</f>
        <v>5000</v>
      </c>
      <c r="P24" s="210">
        <f>=INT(O24/S24)</f>
        <v>2</v>
      </c>
      <c r="Q24" s="211">
        <f>=O24-(P24*S24)</f>
        <v>72</v>
      </c>
      <c r="R24" s="210">
        <f>=IF(Q24&gt;0,P24+1,IF(P24=O,P24))</f>
        <v>3</v>
      </c>
      <c r="S24" s="210">
        <v>2464</v>
      </c>
      <c r="T24" s="106">
        <f>=M24*0.005</f>
        <v>25</v>
      </c>
    </row>
    <row r="25" spans="1:20" ht="27">
      <c r="A25" s="225" t="s">
        <v>393</v>
      </c>
      <c r="B25" s="203">
        <v>45738</v>
      </c>
      <c r="C25" s="204" t="s">
        <v>382</v>
      </c>
      <c r="D25" s="107" t="s">
        <v>394</v>
      </c>
      <c r="E25" s="107" t="s">
        <v>395</v>
      </c>
      <c r="F25" s="237" t="s">
        <v>139</v>
      </c>
      <c r="G25" s="205" t="s"/>
      <c r="H25" s="108" t="s">
        <v>16</v>
      </c>
      <c r="I25" s="109" t="s">
        <v>396</v>
      </c>
      <c r="J25" s="206" t="s">
        <v>411</v>
      </c>
      <c r="K25" s="54" t="s">
        <v>42</v>
      </c>
      <c r="L25" s="207" t="s"/>
      <c r="M25" s="208">
        <v>10000</v>
      </c>
      <c r="N25" s="213">
        <v>452</v>
      </c>
      <c r="O25" s="209">
        <f>=M25-N25</f>
        <v>9548</v>
      </c>
      <c r="P25" s="210">
        <f>=INT(O25/S25)</f>
        <v>2</v>
      </c>
      <c r="Q25" s="211">
        <f>=O25-(P25*S25)</f>
        <v>1892</v>
      </c>
      <c r="R25" s="210">
        <f>=IF(Q25&gt;0,P25+1,IF(P25=O,P25))</f>
        <v>3</v>
      </c>
      <c r="S25" s="210">
        <v>3828</v>
      </c>
      <c r="T25" s="106">
        <f>=M25*0.005</f>
        <v>50</v>
      </c>
    </row>
    <row r="26" spans="1:20" ht="27">
      <c r="A26" s="226" t="s"/>
      <c r="B26" s="203">
        <v>45762</v>
      </c>
      <c r="C26" s="204" t="s">
        <v>397</v>
      </c>
      <c r="D26" s="107" t="s">
        <v>398</v>
      </c>
      <c r="E26" s="107" t="s">
        <v>399</v>
      </c>
      <c r="F26" s="107" t="s">
        <v>139</v>
      </c>
      <c r="G26" s="205" t="s"/>
      <c r="H26" s="108" t="s">
        <v>16</v>
      </c>
      <c r="I26" s="109" t="s">
        <v>400</v>
      </c>
      <c r="J26" s="206" t="s">
        <v>285</v>
      </c>
      <c r="K26" s="54" t="s">
        <v>333</v>
      </c>
      <c r="L26" s="207" t="s"/>
      <c r="M26" s="208">
        <v>10000</v>
      </c>
      <c r="N26" s="213" t="s"/>
      <c r="O26" s="209">
        <f>=M26-N26</f>
        <v>10000</v>
      </c>
      <c r="P26" s="210">
        <f>=INT(O26/S26)</f>
        <v>2</v>
      </c>
      <c r="Q26" s="211">
        <f>=O26-(P26*S26)</f>
        <v>2344</v>
      </c>
      <c r="R26" s="210">
        <f>=IF(Q26&gt;0,P26+1,IF(P26=O,P26))</f>
        <v>3</v>
      </c>
      <c r="S26" s="210">
        <v>3828</v>
      </c>
      <c r="T26" s="106">
        <f>=M26*0.005</f>
        <v>50</v>
      </c>
    </row>
    <row r="27" spans="1:20" ht="27">
      <c r="A27" s="229" t="s"/>
      <c r="B27" s="203">
        <v>45749</v>
      </c>
      <c r="C27" s="204" t="s">
        <v>382</v>
      </c>
      <c r="D27" s="107" t="s">
        <v>383</v>
      </c>
      <c r="E27" s="107" t="s">
        <v>399</v>
      </c>
      <c r="F27" s="107" t="s">
        <v>139</v>
      </c>
      <c r="G27" s="205" t="s"/>
      <c r="H27" s="108" t="s">
        <v>16</v>
      </c>
      <c r="I27" s="109" t="s">
        <v>385</v>
      </c>
      <c r="J27" s="206" t="s">
        <v>401</v>
      </c>
      <c r="K27" s="54" t="s">
        <v>42</v>
      </c>
      <c r="L27" s="207" t="s"/>
      <c r="M27" s="208">
        <v>31000</v>
      </c>
      <c r="N27" s="213" t="s"/>
      <c r="O27" s="209">
        <f>=M27-N27</f>
        <v>31000</v>
      </c>
      <c r="P27" s="210">
        <f>=INT(O27/S27)</f>
        <v>8</v>
      </c>
      <c r="Q27" s="211">
        <f>=O27-(P27*S27)</f>
        <v>376</v>
      </c>
      <c r="R27" s="210">
        <f>=IF(Q27&gt;0,P27+1,IF(P27=O,P27))</f>
        <v>9</v>
      </c>
      <c r="S27" s="210">
        <v>3828</v>
      </c>
      <c r="T27" s="106">
        <f>=M27*0.005</f>
        <v>155</v>
      </c>
    </row>
  </sheetData>
  <mergeCells count="7">
    <mergeCell ref="A3:A4"/>
    <mergeCell ref="A5:A6"/>
    <mergeCell ref="A11:A12"/>
    <mergeCell ref="A14:A18"/>
    <mergeCell ref="A20:A21"/>
    <mergeCell ref="A22:A24"/>
    <mergeCell ref="A25:A27"/>
  </mergeCells>
  <pageMargins left="0.161111" right="0.161111" top="0.196528" bottom="0.196528" header="0.5" footer="0.5"/>
  <pageSetup paperSize="9" scale="57" orientation="landscape" horizontalDpi="600"/>
  <headerFooter/>
</worksheet>
</file>

<file path=xl/worksheets/sheet7.xml><?xml version="1.0" encoding="utf-8"?>
<worksheet xmlns="http://schemas.openxmlformats.org/spreadsheetml/2006/main">
  <sheetPr>
    <pageSetUpPr fitToPage="1"/>
  </sheetPr>
  <dimension ref="A1"/>
  <sheetViews>
    <sheetView showGridLines="1" workbookViewId="0"/>
  </sheetViews>
  <sheetFormatPr defaultColWidth="9" defaultRowHeight="13.5"/>
  <sheetData/>
  <pageMargins left="0.75" right="0.75" top="1" bottom="1" header="0.5" footer="0.5"/>
  <pageSetup paperSize="9" orientation="landscape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2026-05-09T21:30:45Z</dcterms:created>
  <dcterms:modified xsi:type="dcterms:W3CDTF">2026-05-09T21:30:45Z</dcterms:modified>
</cp:coreProperties>
</file>